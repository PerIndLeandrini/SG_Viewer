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9e43fcd7b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_02_PO_03_VAL RISCHI" sheetId="2" r:id="R10eac787d0834e22"/>
    <x:sheet xmlns:r="http://schemas.openxmlformats.org/officeDocument/2006/relationships" name="Mod.02.PO.06.1_Risk management" sheetId="4" r:id="R2350d21806a64ad0"/>
    <x:sheet xmlns:r="http://schemas.openxmlformats.org/officeDocument/2006/relationships" name="MATRICE" sheetId="3" r:id="Re9f4b2bfed5342be"/>
    <x:sheet xmlns:r="http://schemas.openxmlformats.org/officeDocument/2006/relationships" name="Basic info" sheetId="7" r:id="R3ced1fdb15254f9e"/>
    <x:sheet xmlns:r="http://schemas.openxmlformats.org/officeDocument/2006/relationships" name="MOD_01_PO_03_FATTORI RISCHIO" sheetId="1" r:id="Rf0a93017f96a4aad"/>
  </x:sheets>
  <x:definedNames>
    <x:definedName name="AZIONI">#REF!</x:definedName>
    <x:definedName name="Check">#REF!</x:definedName>
    <x:definedName name="Denaro">#REF!</x:definedName>
  </x:definedNames>
</x:workbook>
</file>

<file path=xl/comments1.xml><?xml version="1.0" encoding="utf-8"?>
<x:comments xmlns:x="http://schemas.openxmlformats.org/spreadsheetml/2006/main">
  <x:authors>
    <x:author/>
  </x:authors>
  <x:commentList>
    <x:comment ref="J4" authorId="0">
      <x:text>
        <x:r>
          <x:t>COLORE ARANCIO = AC TRATTATA E CHIUSA
COLORE BLU = AC APERTA MA NON TRATTATA
COLORE VIOLA = AC APERTA MA NON PORTATA A SISTEMA </x:t>
        </x:r>
      </x:text>
    </x:comment>
    <x:comment ref="K4" authorId="0">
      <x:text>
        <x:r>
          <x:t>COLORE ARANCIO = AC TRATTATA E CHIUSA
COLORE BLU = AC APERTA MA NON TRATTATA
COLORE VIOLA = AC APERTA MA NON PORTATA A SISTEMA </x:t>
        </x:r>
      </x:text>
    </x:comment>
    <x:comment ref="L4" authorId="0">
      <x:text>
        <x:r>
          <x:t>COLORE ARANCIO = AC TRATTATA E CHIUSA
COLORE BLU = AC APERTA MA NON TRATTATA
COLORE VIOLA = AC APERTA MA NON PORTATA A SISTEMA </x:t>
        </x:r>
      </x:text>
    </x:comment>
    <x:comment ref="Q4" authorId="0">
      <x:text>
        <x:r>
          <x:t>COLORE ARANCIO = AC TRATTATA E CHIUSA
COLORE BLU = AC APERTA MA NON TRATTATA
COLORE VIOLA = AC APERTA MA NON PORTATA A SISTEMA 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<x:sst xmlns:x="http://schemas.openxmlformats.org/spreadsheetml/2006/main">
  <x:si>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Id</x:t>
  </x:si>
  <x:si>
    <x:t xml:space="preserve">RISCHIO</x:t>
  </x:si>
  <x:si>
    <x:t xml:space="preserve">FIGURE COINVOLTE</x:t>
  </x:si>
  <x:si>
    <x:t xml:space="preserve">CAUSE</x:t>
  </x:si>
  <x:si>
    <x:t xml:space="preserve">Probabilità (P)</x:t>
  </x:si>
  <x:si>
    <x:t xml:space="preserve">Rilevabilità (R )</x:t>
  </x:si>
  <x:si>
    <x:t xml:space="preserve">Rischio (RPN)</x:t>
  </x:si>
  <x:si>
    <x:t xml:space="preserve">Media RPN per ID</x:t>
  </x:si>
  <x:si>
    <x:t xml:space="preserve">RPN Residuo</x:t>
  </x:si>
  <x:si>
    <x:t xml:space="preserve">AC/OPP</x:t>
  </x:si>
  <x:si>
    <x:t xml:space="preserve">Gravità (G)</x:t>
  </x:si>
  <x:si>
    <x:t xml:space="preserve">Esito</x:t>
  </x:si>
  <x:si>
    <x:t xml:space="preserve">NOME E COGNOME PARTECIPANTI</x:t>
  </x:si>
  <x:si>
    <x:t xml:space="preserve">RUOLO</x:t>
  </x:si>
  <x:si>
    <x:t xml:space="preserve">PARERE</x:t>
  </x:si>
  <x:si>
    <x:t xml:space="preserve">DOTT.SSA LAURA CIONI</x:t>
  </x:si>
  <x:si>
    <x:t xml:space="preserve">DIR</x:t>
  </x:si>
  <x:si>
    <x:t xml:space="preserve">POSITIVO APPROVATO</x:t>
  </x:si>
  <x:si>
    <x:t xml:space="preserve">PER.IND. SIMONE LEANDRINI</x:t>
  </x:si>
  <x:si>
    <x:t xml:space="preserve">CONS. ESTERNO</x:t>
  </x:si>
  <x:si>
    <x:t xml:space="preserve">POSITIVO  </x:t>
  </x:si>
  <x:si>
    <x:t xml:space="preserve">DOTT.SSA ELISA BARBAGLI</x:t>
  </x:si>
  <x:si>
    <x:t xml:space="preserve">DATA</x:t>
  </x:si>
  <x:si>
    <x:t xml:space="preserve">INDICE MEDIO RISCHIO</x:t>
  </x:si>
  <x:si>
    <x:t xml:space="preserve">PERFORMANCE GESTIONE RISCHI E OPPORTUNITA'</x:t>
  </x:si>
  <x:si>
    <x:t xml:space="preserve">PERFORMANCE RISPETTO A OBIETTIVO INDICE RISCHIO RESIDUO MEDIO</x:t>
  </x:si>
  <x:si>
    <x:t xml:space="preserve">PERFORMANCE RISPETTO A OBIETTIVO % GESTIONE DEL RISCHIO</x:t>
  </x:si>
  <x:si>
    <x:t xml:space="preserve">INDICE DI ADEGUATEZZA</x:t>
  </x:si>
  <x:si>
    <x:t xml:space="preserve">% Misure non ultimate</x:t>
  </x:si>
  <x:si>
    <x:t xml:space="preserve">RISCHIO/OPPORTUNITA'</x:t>
  </x:si>
  <x:si>
    <x:t xml:space="preserve">ID VR</x:t>
  </x:si>
  <x:si>
    <x:t xml:space="preserve">R/O</x:t>
  </x:si>
  <x:si>
    <x:t xml:space="preserve">TRATTAMENTO</x:t>
  </x:si>
  <x:si>
    <x:t xml:space="preserve">AZIONE</x:t>
  </x:si>
  <x:si>
    <x:t xml:space="preserve">RESPONSABILE</x:t>
  </x:si>
  <x:si>
    <x:t xml:space="preserve">CHECK</x:t>
  </x:si>
  <x:si>
    <x:t xml:space="preserve">PROBABILITÀ</x:t>
  </x:si>
  <x:si>
    <x:t xml:space="preserve">Punteggio</x:t>
  </x:si>
  <x:si>
    <x:t xml:space="preserve">Molto alta</x:t>
  </x:si>
  <x:si>
    <x:t xml:space="preserve">Alta</x:t>
  </x:si>
  <x:si>
    <x:t xml:space="preserve">Moderata</x:t>
  </x:si>
  <x:si>
    <x:t xml:space="preserve">Bassa</x:t>
  </x:si>
  <x:si>
    <x:t xml:space="preserve">Remota</x:t>
  </x:si>
  <x:si>
    <x:t xml:space="preserve">GRAVITA'</x:t>
  </x:si>
  <x:si>
    <x:t xml:space="preserve">INDICE</x:t>
  </x:si>
  <x:si>
    <x:t xml:space="preserve">GRAVISSIMO SENZA PREAVVISO</x:t>
  </x:si>
  <x:si>
    <x:t xml:space="preserve">GRAVISSIMO CON PREAVVISO</x:t>
  </x:si>
  <x:si>
    <x:t xml:space="preserve">MOLTO GRAVE</x:t>
  </x:si>
  <x:si>
    <x:t xml:space="preserve">GRAVE</x:t>
  </x:si>
  <x:si>
    <x:t xml:space="preserve">MODERATO</x:t>
  </x:si>
  <x:si>
    <x:t xml:space="preserve">BASSO</x:t>
  </x:si>
  <x:si>
    <x:t xml:space="preserve">MOLTO BASSO</x:t>
  </x:si>
  <x:si>
    <x:t xml:space="preserve">MINORE</x:t>
  </x:si>
  <x:si>
    <x:t xml:space="preserve">INSIGNIFICANTE</x:t>
  </x:si>
  <x:si>
    <x:t xml:space="preserve">NESSUNO</x:t>
  </x:si>
  <x:si>
    <x:t xml:space="preserve">RILEVABILITA'</x:t>
  </x:si>
  <x:si>
    <x:t xml:space="preserve">CRITERIO VALUTATIVO</x:t>
  </x:si>
  <x:si>
    <x:t xml:space="preserve">IMPOSSIBILE</x:t>
  </x:si>
  <x:si>
    <x:t xml:space="preserve">Non vi è modo di rilevazione di potenziali cause da parte dei sistemi esistenti - Mancanza totale di controlli</x:t>
  </x:si>
  <x:si>
    <x:t xml:space="preserve">MOLTO REMOTA</x:t>
  </x:si>
  <x:si>
    <x:t xml:space="preserve">Capacità molto remota di rilevazione di potenziali cause da parte dei sistemi esistenti</x:t>
  </x:si>
  <x:si>
    <x:t xml:space="preserve">REMOTA</x:t>
  </x:si>
  <x:si>
    <x:t xml:space="preserve">Capacità remota di rilevazione di potenziali cause da parte dei sistemi esistenti</x:t>
  </x:si>
  <x:si>
    <x:t xml:space="preserve">MOLTO BASSA</x:t>
  </x:si>
  <x:si>
    <x:t xml:space="preserve">Capacità molto bassa di rilevazione di potenziali cause da parte dei sistemi esistenti</x:t>
  </x:si>
  <x:si>
    <x:t xml:space="preserve">BASSA </x:t>
  </x:si>
  <x:si>
    <x:t xml:space="preserve">Capacità bassa di rilevazione di potenziali cause da parte dei sistemi esistenti</x:t>
  </x:si>
  <x:si>
    <x:t xml:space="preserve">MEDIA</x:t>
  </x:si>
  <x:si>
    <x:t xml:space="preserve">Capacità media di rilevazione di potenziali cause da parte dei sistemi esistenti</x:t>
  </x:si>
  <x:si>
    <x:t xml:space="preserve">ABBASTANZA ALTA</x:t>
  </x:si>
  <x:si>
    <x:t xml:space="preserve">Capacità abbastanza alta di rilevazione di potenziali cause da parte dei sistemi esistenti</x:t>
  </x:si>
  <x:si>
    <x:t xml:space="preserve">ALTA</x:t>
  </x:si>
  <x:si>
    <x:t xml:space="preserve">Capacità alta di rilevazione di potenziali cause da parte dei sistemi esistenti</x:t>
  </x:si>
  <x:si>
    <x:t xml:space="preserve">MOLTO ALTA </x:t>
  </x:si>
  <x:si>
    <x:t xml:space="preserve">Capacità molto alta di rilevazione di potenziali cause da parte dei sistemi esistenti</x:t>
  </x:si>
  <x:si>
    <x:t xml:space="preserve">CERTA</x:t>
  </x:si>
  <x:si>
    <x:t xml:space="preserve">I controlli esistenti rileveranno sicuramente potenziali cause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</x:si>
</x:sst>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00"/>
    <x:numFmt numFmtId="200" formatCode="dd/mm/yyyy"/>
  </x:numFmts>
  <x:fonts count="44">
    <x:font>
      <x:sz val="10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b/>
      <x:sz val="10"/>
      <x:name val="Arial"/>
    </x:font>
    <x:font>
      <x:i/>
      <x:sz val="10"/>
      <x:name val="Arial"/>
    </x:font>
    <x:font>
      <x:b/>
      <x:sz val="8"/>
      <x:color indexed="8"/>
      <x:name val="Tahoma"/>
    </x:font>
    <x:font>
      <x:b/>
      <x:i/>
      <x:sz val="19"/>
      <x:color indexed="10"/>
      <x:name val="Calibri"/>
    </x:font>
    <x:font>
      <x:b/>
      <x:i/>
      <x:sz val="17"/>
      <x:name val="Calibri"/>
    </x:font>
    <x:font>
      <x:b/>
      <x:i/>
      <x:sz val="12"/>
      <x:name val="Calibri"/>
    </x:font>
    <x:font>
      <x:sz val="8"/>
      <x:name val="Arial"/>
    </x:font>
    <x:font>
      <x:b/>
      <x:i/>
      <x:sz val="14"/>
      <x:name val="Calibri"/>
    </x:font>
    <x:font>
      <x:b/>
      <x:sz val="11"/>
      <x:color rgb="FFFA7D00"/>
      <x:name val="Calibri"/>
    </x:font>
    <x:font>
      <x:sz val="11"/>
      <x:color theme="0"/>
      <x:name val="Calibri"/>
    </x:font>
    <x:font>
      <x:b/>
      <x:sz val="10"/>
      <x:name val="Arial"/>
    </x:font>
    <x:font>
      <x:b/>
      <x:sz val="16"/>
      <x:color rgb="FFFA7D00"/>
      <x:name val="Arial"/>
    </x:font>
    <x:font>
      <x:b/>
      <x:sz val="11"/>
      <x:color rgb="FFFA7D00"/>
      <x:name val="Arial"/>
    </x:font>
    <x:font>
      <x:sz val="11"/>
      <x:color rgb="FF006100"/>
      <x:name val="Calibri"/>
    </x:font>
    <x:font>
      <x:sz val="11"/>
      <x:color rgb="FF9C5700"/>
      <x:name val="Calibri"/>
    </x:font>
    <x:font>
      <x:b/>
      <x:sz val="10"/>
      <x:color theme="0"/>
      <x:name val="Arial"/>
    </x:font>
    <x:font>
      <x:b/>
      <x:sz val="8"/>
      <x:color theme="1"/>
      <x:name val="Calibri"/>
    </x:font>
    <x:font>
      <x:b/>
      <x:sz val="8"/>
      <x:color rgb="FFFA7D00"/>
      <x:name val="Calibri"/>
    </x:font>
    <x:font>
      <x:b/>
      <x:sz val="8"/>
      <x:color theme="0"/>
      <x:name val="Calibri"/>
    </x:font>
    <x:font>
      <x:b/>
      <x:sz val="8"/>
      <x:color rgb="FF4C3B62"/>
      <x:name val="Calibri"/>
    </x:font>
    <x:font>
      <x:b/>
      <x:sz val="14"/>
      <x:color rgb="FF540850"/>
      <x:name val="Calibri"/>
    </x:font>
    <x:font>
      <x:b/>
      <x:sz val="8"/>
      <x:color rgb="FF540850"/>
      <x:name val="Calibri"/>
    </x:font>
    <x:font>
      <x:b/>
      <x:sz val="10"/>
      <x:color rgb="FF540850"/>
      <x:name val="Calibri"/>
    </x:font>
    <x:font>
      <x:b/>
      <x:sz val="9"/>
      <x:color rgb="FF540850"/>
      <x:name val="Calibri"/>
    </x:font>
    <x:font>
      <x:b/>
      <x:sz val="8"/>
      <x:color rgb="FFC00000"/>
      <x:name val="Calibri"/>
    </x:font>
    <x:font>
      <x:i/>
      <x:sz val="8"/>
      <x:color theme="1"/>
      <x:name val="Calibri"/>
    </x:font>
    <x:font>
      <x:b/>
      <x:sz val="8"/>
      <x:color rgb="FFFF0000"/>
      <x:name val="Calibri"/>
    </x:font>
    <x:font>
      <x:b/>
      <x:sz val="8"/>
      <x:color rgb="FF006100"/>
      <x:name val="Calibri"/>
    </x:font>
    <x:font>
      <x:b/>
      <x:sz val="9"/>
      <x:color theme="1"/>
      <x:name val="Arial"/>
    </x:font>
    <x:font>
      <x:sz val="9"/>
      <x:color theme="1"/>
      <x:name val="Calibri"/>
    </x:font>
    <x:font>
      <x:b/>
      <x:sz val="12"/>
      <x:color rgb="FFFA7D00"/>
      <x:name val="Arial"/>
    </x:font>
    <x:font>
      <x:sz val="11"/>
      <x:color rgb="FF9C0006"/>
      <x:name val="Calibri"/>
    </x:font>
    <x:font>
      <x:sz val="8"/>
      <x:color rgb="FF9C5700"/>
      <x:name val="Calibri"/>
    </x:font>
    <x:font>
      <x:sz val="8"/>
      <x:color rgb="FF9C0006"/>
      <x:name val="Calibri"/>
    </x:font>
    <x:font>
      <x:b/>
      <x:sz val="10"/>
      <x:color theme="1"/>
      <x:name val="Calibri"/>
    </x:font>
    <x:font>
      <x:b/>
      <x:sz val="8"/>
      <x:color theme="0" tint="-0.34999"/>
      <x:name val="Calibri"/>
    </x:font>
    <x:font>
      <x:sz val="11"/>
      <x:color rgb="FFFF0000"/>
      <x:name val="Calibri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000000"/>
      <x:name val="Arial"/>
    </x:font>
  </x:fonts>
  <x:fills count="28">
    <x:fill>
      <x:patternFill patternType="none"/>
    </x:fill>
    <x:fill>
      <x:patternFill patternType="gray125"/>
    </x:fill>
    <x:fill>
      <x:patternFill patternType="solid">
        <x:fgColor indexed="26"/>
      </x:patternFill>
    </x:fill>
    <x:fill>
      <x:patternFill patternType="solid">
        <x:fgColor indexed="9"/>
      </x:patternFill>
    </x:fill>
    <x:fill>
      <x:patternFill patternType="solid">
        <x:fgColor indexed="31"/>
      </x:patternFill>
    </x:fill>
    <x:fill>
      <x:patternFill patternType="solid">
        <x:fgColor indexed="22"/>
      </x:patternFill>
    </x:fill>
    <x:fill>
      <x:patternFill patternType="solid">
        <x:fgColor indexed="10"/>
      </x:patternFill>
    </x:fill>
    <x:fill>
      <x:patternFill patternType="solid">
        <x:fgColor indexed="13"/>
      </x:patternFill>
    </x:fill>
    <x:fill>
      <x:patternFill patternType="solid">
        <x:fgColor indexed="42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  <x:fill>
      <x:patternFill patternType="solid">
        <x:fgColor theme="7"/>
      </x:patternFill>
    </x:fill>
    <x:fill>
      <x:patternFill patternType="solid">
        <x:fgColor theme="4" tint="0.79998"/>
      </x:patternFill>
    </x:fill>
    <x:fill>
      <x:patternFill patternType="solid">
        <x:fgColor rgb="FFFFFF00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0000"/>
      </x:patternFill>
    </x:fill>
    <x:fill>
      <x:patternFill patternType="solid">
        <x:fgColor theme="0"/>
      </x:patternFill>
    </x:fill>
    <x:fill>
      <x:patternFill patternType="solid">
        <x:fgColor theme="7" tint="0.79998"/>
      </x:patternFill>
    </x:fill>
    <x:fill>
      <x:patternFill patternType="solid">
        <x:fgColor rgb="FFE1DBE9"/>
      </x:patternFill>
    </x:fill>
    <x:fill>
      <x:patternFill patternType="solid">
        <x:fgColor rgb="FF540850"/>
      </x:patternFill>
    </x:fill>
    <x:fill>
      <x:patternFill patternType="solid">
        <x:fgColor rgb="FFFFC7CE"/>
      </x:patternFill>
    </x:fill>
    <x:fill>
      <x:patternFill patternType="solid">
        <x:fgColor theme="0" tint="-0.24998"/>
      </x:patternFill>
    </x:fill>
    <x:fill>
      <x:patternFill patternType="solid">
        <x:fgColor rgb="FFFFC000"/>
      </x:patternFill>
    </x:fill>
    <x:fill>
      <x:patternFill patternType="solid">
        <x:fgColor theme="6" tint="0.79998"/>
      </x:patternFill>
    </x:fill>
    <x:fill>
      <x:patternFill patternType="solid">
        <x:fgColor theme="0" tint="-0.15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69">
    <x:border/>
    <x:border>
      <x:left style="thin">
        <x:color indexed="8"/>
      </x:left>
      <x:right style="thin">
        <x:color indexed="8"/>
      </x:right>
    </x:border>
    <x:border>
      <x:left style="medium">
        <x:color indexed="12"/>
      </x:left>
      <x:right style="medium">
        <x:color indexed="12"/>
      </x:right>
      <x:bottom style="thick">
        <x:color indexed="12"/>
      </x:bottom>
    </x:border>
    <x:border>
      <x:right style="medium">
        <x:color indexed="12"/>
      </x:right>
      <x:bottom style="thick">
        <x:color indexed="12"/>
      </x:bottom>
    </x:border>
    <x:border>
      <x:left style="medium">
        <x:color indexed="12"/>
      </x:left>
      <x:right style="medium">
        <x:color indexed="12"/>
      </x:right>
    </x:border>
    <x:border>
      <x:right style="medium">
        <x:color indexed="12"/>
      </x:right>
      <x:top style="thick">
        <x:color indexed="12"/>
      </x:top>
      <x:bottom style="thick">
        <x:color indexed="12"/>
      </x:bottom>
    </x:border>
    <x:border>
      <x:left style="medium">
        <x:color indexed="12"/>
      </x:left>
      <x:right style="medium">
        <x:color indexed="12"/>
      </x:right>
      <x:bottom style="medium">
        <x:color indexed="12"/>
      </x:bottom>
    </x:border>
    <x:border>
      <x:right style="medium">
        <x:color indexed="12"/>
      </x:right>
      <x:bottom style="medium">
        <x:color indexed="12"/>
      </x:bottom>
    </x:border>
    <x:border>
      <x:left style="medium">
        <x:color indexed="12"/>
      </x:left>
      <x:right style="medium">
        <x:color indexed="12"/>
      </x:right>
      <x:top style="medium">
        <x:color indexed="12"/>
      </x:top>
      <x:bottom style="thick">
        <x:color indexed="12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hair">
        <x:color indexed="8"/>
      </x:left>
      <x:right style="hair">
        <x:color indexed="8"/>
      </x:right>
      <x:top style="double">
        <x:color indexed="8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12"/>
      </x:left>
      <x:right style="medium">
        <x:color indexed="12"/>
      </x:right>
      <x:top style="thick">
        <x:color indexed="12"/>
      </x:top>
    </x:border>
    <x:border>
      <x:left style="medium">
        <x:color indexed="12"/>
      </x:left>
      <x:bottom style="medium">
        <x:color indexed="12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8"/>
      </x:left>
      <x:right style="thin">
        <x:color indexed="8"/>
      </x:right>
      <x:top style="double">
        <x:color indexed="8"/>
      </x:top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7F7F7F"/>
      </x:right>
      <x:top style="medium">
        <x:color indexed="64"/>
      </x:top>
      <x:bottom style="medium">
        <x:color indexed="64"/>
      </x:bottom>
    </x:border>
    <x:border>
      <x:left style="thin">
        <x:color rgb="FF7F7F7F"/>
      </x:left>
      <x:right style="thin">
        <x:color rgb="FF7F7F7F"/>
      </x:right>
      <x:top style="medium">
        <x:color indexed="64"/>
      </x:top>
      <x:bottom style="medium">
        <x:color indexed="64"/>
      </x:bottom>
    </x:border>
    <x:border>
      <x:left style="thin">
        <x:color rgb="FF7F7F7F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top style="medium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rgb="FF540850"/>
      </x:left>
      <x:right style="thin">
        <x:color rgb="FF540850"/>
      </x:right>
      <x:top style="thin">
        <x:color rgb="FF540850"/>
      </x:top>
      <x:bottom style="thin">
        <x:color rgb="FF540850"/>
      </x:bottom>
    </x:border>
    <x:border>
      <x:left style="thin">
        <x:color rgb="FF540850"/>
      </x:left>
      <x:right style="thin">
        <x:color rgb="FF540850"/>
      </x:right>
      <x:top style="thin">
        <x:color rgb="FF540850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540850"/>
      </x:left>
      <x:right style="thin">
        <x:color rgb="FF540850"/>
      </x:right>
      <x:bottom style="thin">
        <x:color rgb="FF540850"/>
      </x:bottom>
    </x:border>
    <x:border>
      <x:left style="thin">
        <x:color indexed="64"/>
      </x:left>
    </x:border>
    <x:border>
      <x:left style="thin">
        <x:color indexed="64"/>
      </x:left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</x:borders>
  <x:cellStyleXfs count="10">
    <x:xf numFmtId="0" fontId="0" fillId="0" borderId="0"/>
    <x:xf numFmtId="0" fontId="3" fillId="0" borderId="0"/>
    <x:xf numFmtId="0" fontId="12" fillId="9" borderId="15" applyNumberFormat="0" applyAlignment="0" applyProtection="0"/>
    <x:xf numFmtId="0" fontId="3" fillId="10" borderId="16" applyNumberFormat="0" applyFont="0" applyAlignment="0" applyProtection="0"/>
    <x:xf numFmtId="0" fontId="13" fillId="11" borderId="0" applyNumberFormat="0" applyBorder="0" applyAlignment="0" applyProtection="0"/>
    <x:xf numFmtId="0" fontId="17" fillId="14" borderId="0" applyNumberFormat="0" applyBorder="0" applyAlignment="0" applyProtection="0"/>
    <x:xf numFmtId="0" fontId="18" fillId="15" borderId="0" applyNumberFormat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0" fontId="35" fillId="21" borderId="0" applyNumberFormat="0" applyBorder="0" applyAlignment="0" applyProtection="0"/>
  </x:cellStyleXfs>
  <x:cellXfs count="327">
    <x:xf numFmtId="0" fontId="0" fillId="0" borderId="0" xfId="0"/>
    <x:xf numFmtId="0" fontId="3" fillId="0" borderId="0" xfId="1"/>
    <x:xf numFmtId="0" fontId="3" fillId="0" borderId="0" xfId="1" applyAlignment="1">
      <x:alignment vertical="center"/>
    </x:xf>
    <x:xf numFmtId="0" fontId="3" fillId="0" borderId="0" xfId="1" applyAlignment="1">
      <x:alignment wrapText="1"/>
    </x:xf>
    <x:xf numFmtId="0" fontId="4" fillId="0" borderId="0" xfId="1" applyFont="1" applyAlignment="1">
      <x:alignment horizontal="center" vertical="center"/>
    </x:xf>
    <x:xf numFmtId="0" fontId="4" fillId="2" borderId="0" xfId="1" applyFont="1" applyFill="1" applyAlignment="1">
      <x:alignment horizontal="center" vertical="center"/>
    </x:xf>
    <x:xf numFmtId="0" fontId="4" fillId="3" borderId="0" xfId="1" applyFont="1" applyFill="1" applyAlignment="1">
      <x:alignment horizontal="center" vertical="center" wrapText="1"/>
    </x:xf>
    <x:xf numFmtId="0" fontId="5" fillId="0" borderId="0" xfId="1" applyFont="1" applyAlignment="1">
      <x:alignment horizontal="center" vertical="center" wrapText="1"/>
    </x:xf>
    <x:xf numFmtId="0" fontId="4" fillId="4" borderId="0" xfId="1" applyFont="1" applyFill="1" applyAlignment="1">
      <x:alignment vertical="center"/>
    </x:xf>
    <x:xf numFmtId="0" fontId="3" fillId="0" borderId="1" xfId="1" applyBorder="1" applyAlignment="1">
      <x:alignment horizontal="center"/>
    </x:xf>
    <x:xf numFmtId="0" fontId="3" fillId="0" borderId="1" xfId="1" applyBorder="1" applyAlignment="1">
      <x:alignment horizontal="left" vertical="center" wrapText="1"/>
    </x:xf>
    <x:xf numFmtId="0" fontId="3" fillId="0" borderId="0" xfId="1" applyAlignment="1">
      <x:alignment horizontal="center"/>
    </x:xf>
    <x:xf numFmtId="0" fontId="3" fillId="0" borderId="0" xfId="1" applyAlignment="1">
      <x:alignment horizontal="center" vertical="center" wrapText="1"/>
    </x:xf>
    <x:xf numFmtId="0" fontId="3" fillId="0" borderId="0" xfId="1" applyAlignment="1">
      <x:alignment vertical="center" wrapText="1"/>
    </x:xf>
    <x:xf numFmtId="0" fontId="3" fillId="0" borderId="0" xfId="1" applyAlignment="1">
      <x:alignment horizontal="center" vertical="center" wrapText="1"/>
    </x:xf>
    <x:xf numFmtId="0" fontId="8" fillId="0" borderId="2" xfId="1" applyFont="1" applyBorder="1" applyAlignment="1">
      <x:alignment horizontal="center" vertical="center" wrapText="1"/>
    </x:xf>
    <x:xf numFmtId="0" fontId="8" fillId="0" borderId="3" xfId="1" applyFont="1" applyBorder="1" applyAlignment="1">
      <x:alignment horizontal="center" vertical="center" wrapText="1"/>
    </x:xf>
    <x:xf numFmtId="0" fontId="8" fillId="6" borderId="3" xfId="1" applyFont="1" applyFill="1" applyBorder="1" applyAlignment="1">
      <x:alignment horizontal="center" vertical="center" wrapText="1"/>
    </x:xf>
    <x:xf numFmtId="0" fontId="8" fillId="6" borderId="5" xfId="1" applyFont="1" applyFill="1" applyBorder="1" applyAlignment="1">
      <x:alignment horizontal="center" vertical="center" wrapText="1"/>
    </x:xf>
    <x:xf numFmtId="0" fontId="8" fillId="7" borderId="3" xfId="1" applyFont="1" applyFill="1" applyBorder="1" applyAlignment="1">
      <x:alignment horizontal="center" vertical="center" wrapText="1"/>
    </x:xf>
    <x:xf numFmtId="0" fontId="8" fillId="7" borderId="5" xfId="1" applyFont="1" applyFill="1" applyBorder="1" applyAlignment="1">
      <x:alignment horizontal="center" vertical="center" wrapText="1"/>
    </x:xf>
    <x:xf numFmtId="0" fontId="8" fillId="8" borderId="3" xfId="1" applyFont="1" applyFill="1" applyBorder="1" applyAlignment="1">
      <x:alignment horizontal="center" vertical="center" wrapText="1"/>
    </x:xf>
    <x:xf numFmtId="0" fontId="8" fillId="8" borderId="5" xfId="1" applyFont="1" applyFill="1" applyBorder="1" applyAlignment="1">
      <x:alignment horizontal="center" vertical="center" wrapText="1"/>
    </x:xf>
    <x:xf numFmtId="0" fontId="8" fillId="0" borderId="6" xfId="1" applyFont="1" applyBorder="1" applyAlignment="1">
      <x:alignment horizontal="center" vertical="center" wrapText="1"/>
    </x:xf>
    <x:xf numFmtId="0" fontId="8" fillId="8" borderId="7" xfId="1" applyFont="1" applyFill="1" applyBorder="1" applyAlignment="1">
      <x:alignment horizontal="center" vertical="center" wrapText="1"/>
    </x:xf>
    <x:xf numFmtId="0" fontId="9" fillId="0" borderId="6" xfId="1" applyFont="1" applyBorder="1" applyAlignment="1">
      <x:alignment horizontal="center" vertical="center" wrapText="1"/>
    </x:xf>
    <x:xf numFmtId="0" fontId="0" fillId="0" borderId="0" xfId="1" applyFont="1" applyAlignment="1">
      <x:alignment vertical="center" wrapText="1"/>
    </x:xf>
    <x:xf numFmtId="0" fontId="4" fillId="5" borderId="10" xfId="1" applyFont="1" applyFill="1" applyBorder="1" applyAlignment="1">
      <x:alignment horizontal="center" vertical="center" wrapText="1"/>
    </x:xf>
    <x:xf numFmtId="0" fontId="3" fillId="0" borderId="9" xfId="1" applyBorder="1" applyAlignment="1">
      <x:alignment horizontal="center" vertical="center" wrapText="1"/>
    </x:xf>
    <x:xf numFmtId="0" fontId="3" fillId="0" borderId="9" xfId="1" applyBorder="1" applyAlignment="1">
      <x:alignment horizontal="center" vertical="center" wrapText="1"/>
    </x:xf>
    <x:xf numFmtId="49" fontId="4" fillId="5" borderId="10" xfId="1" applyNumberFormat="1" applyFont="1" applyFill="1" applyBorder="1" applyAlignment="1">
      <x:alignment horizontal="center" vertical="center" wrapText="1"/>
    </x:xf>
    <x:xf numFmtId="49" fontId="3" fillId="0" borderId="0" xfId="1" applyNumberFormat="1" applyAlignment="1">
      <x:alignment horizontal="center" vertical="center" wrapText="1"/>
    </x:xf>
    <x:xf numFmtId="49" fontId="3" fillId="0" borderId="0" xfId="1" applyNumberFormat="1" applyAlignment="1">
      <x:alignment horizontal="center"/>
    </x:xf>
    <x:xf numFmtId="0" fontId="0" fillId="0" borderId="0" xfId="1" applyFont="1" applyAlignment="1">
      <x:alignment vertical="center"/>
    </x:xf>
    <x:xf numFmtId="0" fontId="8" fillId="0" borderId="14" xfId="1" applyFont="1" applyBorder="1" applyAlignment="1">
      <x:alignment horizontal="center" vertical="center" wrapText="1"/>
    </x:xf>
    <x:xf numFmtId="0" fontId="11" fillId="0" borderId="14" xfId="1" applyFont="1" applyBorder="1" applyAlignment="1">
      <x:alignment horizontal="center" vertical="center" wrapText="1"/>
    </x:xf>
    <x:xf numFmtId="0" fontId="4" fillId="5" borderId="18" xfId="1" applyFont="1" applyFill="1" applyBorder="1" applyAlignment="1">
      <x:alignment horizontal="center" vertical="center" wrapText="1"/>
    </x:xf>
    <x:xf numFmtId="0" fontId="3" fillId="0" borderId="12" xfId="1" applyBorder="1" applyAlignment="1">
      <x:alignment horizontal="center" vertical="center" wrapText="1"/>
    </x:xf>
    <x:xf numFmtId="0" fontId="3" fillId="0" borderId="20" xfId="1" applyBorder="1" applyAlignment="1">
      <x:alignment horizontal="center" vertical="center" wrapText="1"/>
    </x:xf>
    <x:xf numFmtId="0" fontId="3" fillId="0" borderId="20" xfId="1" applyBorder="1" applyAlignment="1">
      <x:alignment vertical="center" wrapText="1"/>
    </x:xf>
    <x:xf numFmtId="0" fontId="3" fillId="0" borderId="21" xfId="1" applyBorder="1" applyAlignment="1">
      <x:alignment horizontal="center" vertical="center" wrapText="1"/>
    </x:xf>
    <x:xf numFmtId="0" fontId="3" fillId="0" borderId="21" xfId="1" applyBorder="1" applyAlignment="1">
      <x:alignment horizontal="center" vertical="center" wrapText="1"/>
    </x:xf>
    <x:xf numFmtId="49" fontId="3" fillId="0" borderId="22" xfId="1" applyNumberFormat="1" applyBorder="1" applyAlignment="1">
      <x:alignment horizontal="center" vertical="center" wrapText="1"/>
    </x:xf>
    <x:xf numFmtId="49" fontId="3" fillId="0" borderId="24" xfId="1" applyNumberFormat="1" applyBorder="1" applyAlignment="1">
      <x:alignment horizontal="center" vertical="center" wrapText="1"/>
    </x:xf>
    <x:xf numFmtId="0" fontId="0" fillId="0" borderId="26" xfId="1" applyFont="1" applyBorder="1" applyAlignment="1">
      <x:alignment vertical="center" wrapText="1"/>
    </x:xf>
    <x:xf numFmtId="0" fontId="3" fillId="0" borderId="27" xfId="1" applyBorder="1" applyAlignment="1">
      <x:alignment horizontal="center" vertical="center" wrapText="1"/>
    </x:xf>
    <x:xf numFmtId="0" fontId="3" fillId="0" borderId="26" xfId="1" applyBorder="1" applyAlignment="1">
      <x:alignment horizontal="center" vertical="center" wrapText="1"/>
    </x:xf>
    <x:xf numFmtId="0" fontId="3" fillId="0" borderId="26" xfId="1" applyBorder="1" applyAlignment="1">
      <x:alignment horizontal="center" vertical="center" wrapText="1"/>
    </x:xf>
    <x:xf numFmtId="49" fontId="3" fillId="0" borderId="28" xfId="1" applyNumberFormat="1" applyBorder="1" applyAlignment="1">
      <x:alignment horizontal="center" vertical="center" wrapText="1"/>
    </x:xf>
    <x:xf numFmtId="0" fontId="3" fillId="0" borderId="26" xfId="1" applyBorder="1" applyAlignment="1">
      <x:alignment vertical="center" wrapText="1"/>
    </x:xf>
    <x:xf numFmtId="0" fontId="3" fillId="0" borderId="20" xfId="1" applyBorder="1" applyAlignment="1">
      <x:alignment horizontal="center" vertical="center" wrapText="1"/>
    </x:xf>
    <x:xf numFmtId="0" fontId="3" fillId="0" borderId="29" xfId="1" applyBorder="1" applyAlignment="1">
      <x:alignment horizontal="center" vertical="center" wrapText="1"/>
    </x:xf>
    <x:xf numFmtId="0" fontId="3" fillId="0" borderId="30" xfId="1" applyBorder="1" applyAlignment="1">
      <x:alignment horizontal="center" vertical="center" wrapText="1"/>
    </x:xf>
    <x:xf numFmtId="0" fontId="3" fillId="0" borderId="30" xfId="1" applyBorder="1" applyAlignment="1">
      <x:alignment vertical="center" wrapText="1"/>
    </x:xf>
    <x:xf numFmtId="0" fontId="3" fillId="0" borderId="31" xfId="1" applyBorder="1" applyAlignment="1">
      <x:alignment horizontal="center" vertical="center" wrapText="1"/>
    </x:xf>
    <x:xf numFmtId="0" fontId="3" fillId="0" borderId="30" xfId="1" applyBorder="1" applyAlignment="1">
      <x:alignment horizontal="center" vertical="center" wrapText="1"/>
    </x:xf>
    <x:xf numFmtId="49" fontId="3" fillId="0" borderId="32" xfId="1" applyNumberFormat="1" applyBorder="1" applyAlignment="1">
      <x:alignment horizontal="center" vertical="center" wrapText="1"/>
    </x:xf>
    <x:xf numFmtId="0" fontId="0" fillId="0" borderId="20" xfId="1" applyFont="1" applyBorder="1" applyAlignment="1">
      <x:alignment vertical="center" wrapText="1"/>
    </x:xf>
    <x:xf numFmtId="0" fontId="0" fillId="0" borderId="0" xfId="1" applyFont="1" applyAlignment="1">
      <x:alignment horizontal="center" vertical="center" wrapText="1"/>
    </x:xf>
    <x:xf numFmtId="0" fontId="0" fillId="0" borderId="26" xfId="1" applyFont="1" applyBorder="1" applyAlignment="1">
      <x:alignment horizontal="center" vertical="center" wrapText="1"/>
    </x:xf>
    <x:xf numFmtId="0" fontId="0" fillId="0" borderId="20" xfId="1" applyFont="1" applyBorder="1" applyAlignment="1">
      <x:alignment horizontal="center" vertical="center" wrapText="1"/>
    </x:xf>
    <x:xf numFmtId="0" fontId="14" fillId="5" borderId="10" xfId="1" applyFont="1" applyFill="1" applyBorder="1" applyAlignment="1">
      <x:alignment horizontal="center" vertical="center" wrapText="1"/>
    </x:xf>
    <x:xf numFmtId="0" fontId="14" fillId="0" borderId="0" xfId="1" applyFont="1" applyAlignment="1">
      <x:alignment horizontal="center"/>
    </x:xf>
    <x:xf numFmtId="0" fontId="3" fillId="0" borderId="33" xfId="1" applyBorder="1" applyAlignment="1">
      <x:alignment horizontal="center" vertical="center" wrapText="1"/>
    </x:xf>
    <x:xf numFmtId="0" fontId="3" fillId="0" borderId="34" xfId="1" applyBorder="1" applyAlignment="1">
      <x:alignment horizontal="center" vertical="center" wrapText="1"/>
    </x:xf>
    <x:xf numFmtId="0" fontId="14" fillId="12" borderId="29" xfId="1" applyFont="1" applyFill="1" applyBorder="1" applyAlignment="1">
      <x:alignment horizontal="center" vertical="center" wrapText="1"/>
    </x:xf>
    <x:xf numFmtId="49" fontId="13" fillId="11" borderId="32" xfId="4" applyNumberFormat="1" applyBorder="1" applyAlignment="1">
      <x:alignment horizontal="center" vertical="center" wrapText="1"/>
    </x:xf>
    <x:xf numFmtId="49" fontId="13" fillId="11" borderId="22" xfId="4" applyNumberFormat="1" applyBorder="1" applyAlignment="1">
      <x:alignment horizontal="center" vertical="center" wrapText="1"/>
    </x:xf>
    <x:xf numFmtId="0" fontId="3" fillId="0" borderId="35" xfId="1" applyBorder="1" applyAlignment="1">
      <x:alignment horizontal="center" vertical="center" wrapText="1"/>
    </x:xf>
    <x:xf numFmtId="49" fontId="2" fillId="10" borderId="17" xfId="3" applyNumberFormat="1" applyFont="1" applyBorder="1" applyAlignment="1">
      <x:alignment horizontal="center" vertical="center" wrapText="1"/>
    </x:xf>
    <x:xf numFmtId="49" fontId="12" fillId="9" borderId="17" xfId="2" applyNumberFormat="1" applyBorder="1" applyAlignment="1">
      <x:alignment horizontal="center" vertical="center" wrapText="1"/>
    </x:xf>
    <x:xf numFmtId="0" fontId="3" fillId="0" borderId="36" xfId="1" applyBorder="1" applyAlignment="1">
      <x:alignment horizontal="center" vertical="center" wrapText="1"/>
    </x:xf>
    <x:xf numFmtId="0" fontId="3" fillId="0" borderId="37" xfId="1" applyBorder="1" applyAlignment="1">
      <x:alignment horizontal="center" vertical="center" wrapText="1"/>
    </x:xf>
    <x:xf numFmtId="0" fontId="3" fillId="0" borderId="11" xfId="1" applyBorder="1" applyAlignment="1">
      <x:alignment horizontal="center" vertical="center" wrapText="1"/>
    </x:xf>
    <x:xf numFmtId="0" fontId="3" fillId="0" borderId="38" xfId="1" applyBorder="1" applyAlignment="1">
      <x:alignment horizontal="center" vertical="center" wrapText="1"/>
    </x:xf>
    <x:xf numFmtId="0" fontId="3" fillId="0" borderId="39" xfId="1" applyBorder="1" applyAlignment="1">
      <x:alignment horizontal="center" vertical="center" wrapText="1"/>
    </x:xf>
    <x:xf numFmtId="0" fontId="3" fillId="0" borderId="23" xfId="1" applyBorder="1" applyAlignment="1">
      <x:alignment horizontal="center" vertical="center" wrapText="1"/>
    </x:xf>
    <x:xf numFmtId="0" fontId="3" fillId="0" borderId="24" xfId="1" applyBorder="1" applyAlignment="1">
      <x:alignment horizontal="center" vertical="center" wrapText="1"/>
    </x:xf>
    <x:xf numFmtId="0" fontId="3" fillId="0" borderId="24" xfId="1" applyBorder="1" applyAlignment="1">
      <x:alignment horizontal="center" vertical="center" wrapText="1"/>
    </x:xf>
    <x:xf numFmtId="0" fontId="3" fillId="0" borderId="25" xfId="1" applyBorder="1" applyAlignment="1">
      <x:alignment horizontal="center" vertical="center" wrapText="1"/>
    </x:xf>
    <x:xf numFmtId="0" fontId="3" fillId="0" borderId="28" xfId="1" applyBorder="1" applyAlignment="1">
      <x:alignment horizontal="center" vertical="center" wrapText="1"/>
    </x:xf>
    <x:xf numFmtId="0" fontId="3" fillId="0" borderId="40" xfId="1" applyBorder="1" applyAlignment="1">
      <x:alignment horizontal="center" vertical="center" wrapText="1"/>
    </x:xf>
    <x:xf numFmtId="0" fontId="3" fillId="0" borderId="41" xfId="1" applyBorder="1" applyAlignment="1">
      <x:alignment horizontal="center" vertical="center" wrapText="1"/>
    </x:xf>
    <x:xf numFmtId="0" fontId="3" fillId="0" borderId="42" xfId="1" applyBorder="1" applyAlignment="1">
      <x:alignment horizontal="center" vertical="center" wrapText="1"/>
    </x:xf>
    <x:xf numFmtId="49" fontId="12" fillId="9" borderId="32" xfId="2" applyNumberFormat="1" applyBorder="1" applyAlignment="1">
      <x:alignment horizontal="center" vertical="center" wrapText="1"/>
    </x:xf>
    <x:xf numFmtId="0" fontId="3" fillId="0" borderId="43" xfId="1" applyBorder="1" applyAlignment="1">
      <x:alignment horizontal="center" vertical="center" wrapText="1"/>
    </x:xf>
    <x:xf numFmtId="0" fontId="3" fillId="0" borderId="44" xfId="1" applyBorder="1" applyAlignment="1">
      <x:alignment horizontal="center" vertical="center" wrapText="1"/>
    </x:xf>
    <x:xf numFmtId="0" fontId="3" fillId="0" borderId="0" xfId="1" applyAlignment="1">
      <x:alignment horizontal="left" vertical="center" wrapText="1"/>
    </x:xf>
    <x:xf numFmtId="0" fontId="3" fillId="0" borderId="48" xfId="1" applyBorder="1" applyAlignment="1">
      <x:alignment horizontal="center" vertical="center" wrapText="1"/>
    </x:xf>
    <x:xf numFmtId="0" fontId="14" fillId="12" borderId="17" xfId="1" applyFont="1" applyFill="1" applyBorder="1" applyAlignment="1">
      <x:alignment horizontal="center" vertical="center" wrapText="1"/>
    </x:xf>
    <x:xf numFmtId="0" fontId="3" fillId="0" borderId="49" xfId="1" applyBorder="1" applyAlignment="1">
      <x:alignment horizontal="center" vertical="center" wrapText="1"/>
    </x:xf>
    <x:xf numFmtId="0" fontId="3" fillId="0" borderId="53" xfId="1" applyBorder="1" applyAlignment="1">
      <x:alignment horizontal="center" vertical="center" wrapText="1"/>
    </x:xf>
    <x:xf numFmtId="2" fontId="14" fillId="0" borderId="31" xfId="1" applyNumberFormat="1" applyFont="1" applyBorder="1" applyAlignment="1">
      <x:alignment horizontal="center" vertical="center" wrapText="1"/>
    </x:xf>
    <x:xf numFmtId="0" fontId="20" fillId="17" borderId="0" xfId="7" applyFont="1" applyFill="1"/>
    <x:xf numFmtId="0" fontId="22" fillId="17" borderId="0" xfId="7" applyFont="1" applyFill="1"/>
    <x:xf numFmtId="0" fontId="20" fillId="17" borderId="9" xfId="7" applyFont="1" applyFill="1" applyBorder="1" applyAlignment="1">
      <x:alignment horizontal="right" vertical="center"/>
    </x:xf>
    <x:xf numFmtId="0" fontId="22" fillId="17" borderId="0" xfId="7" applyFont="1" applyFill="1" applyAlignment="1">
      <x:alignment horizontal="center" vertical="center"/>
    </x:xf>
    <x:xf numFmtId="0" fontId="25" fillId="17" borderId="0" xfId="7" applyFont="1" applyFill="1"/>
    <x:xf numFmtId="0" fontId="25" fillId="17" borderId="0" xfId="7" applyFont="1" applyFill="1" applyAlignment="1">
      <x:alignment horizontal="left"/>
    </x:xf>
    <x:xf numFmtId="164" fontId="23" fillId="17" borderId="0" xfId="7" applyNumberFormat="1" applyFont="1" applyFill="1" applyAlignment="1">
      <x:alignment vertical="center"/>
    </x:xf>
    <x:xf numFmtId="0" fontId="23" fillId="17" borderId="0" xfId="7" applyFont="1" applyFill="1" applyAlignment="1">
      <x:alignment vertical="center"/>
    </x:xf>
    <x:xf numFmtId="164" fontId="25" fillId="17" borderId="0" xfId="7" applyNumberFormat="1" applyFont="1" applyFill="1" applyAlignment="1">
      <x:alignment horizontal="left" vertical="center"/>
    </x:xf>
    <x:xf numFmtId="2" fontId="22" fillId="17" borderId="0" xfId="7" applyNumberFormat="1" applyFont="1" applyFill="1" applyAlignment="1">
      <x:alignment horizontal="center"/>
    </x:xf>
    <x:xf numFmtId="9" fontId="22" fillId="17" borderId="0" xfId="8" applyFont="1" applyFill="1" applyBorder="1" applyAlignment="1">
      <x:alignment horizontal="center" vertical="center"/>
    </x:xf>
    <x:xf numFmtId="9" fontId="20" fillId="19" borderId="9" xfId="8" applyFont="1" applyFill="1" applyBorder="1" applyAlignment="1">
      <x:alignment horizontal="center" vertical="center"/>
    </x:xf>
    <x:xf numFmtId="0" fontId="25" fillId="17" borderId="0" xfId="7" applyFont="1" applyFill="1" applyAlignment="1">
      <x:alignment horizontal="left" vertical="center"/>
    </x:xf>
    <x:xf numFmtId="0" fontId="22" fillId="17" borderId="0" xfId="7" applyFont="1" applyFill="1" applyAlignment="1">
      <x:alignment horizontal="center"/>
    </x:xf>
    <x:xf numFmtId="10" fontId="20" fillId="17" borderId="0" xfId="8" applyNumberFormat="1" applyFont="1" applyFill="1" applyBorder="1" applyAlignment="1">
      <x:alignment vertical="center"/>
    </x:xf>
    <x:xf numFmtId="165" fontId="22" fillId="17" borderId="0" xfId="7" applyNumberFormat="1" applyFont="1" applyFill="1" applyAlignment="1">
      <x:alignment horizontal="center"/>
    </x:xf>
    <x:xf numFmtId="14" fontId="20" fillId="17" borderId="0" xfId="7" applyNumberFormat="1" applyFont="1" applyFill="1"/>
    <x:xf numFmtId="164" fontId="23" fillId="17" borderId="0" xfId="7" applyNumberFormat="1" applyFont="1" applyFill="1" applyAlignment="1">
      <x:alignment horizontal="center" vertical="center"/>
    </x:xf>
    <x:xf numFmtId="0" fontId="23" fillId="17" borderId="0" xfId="7" applyFont="1" applyFill="1" applyAlignment="1">
      <x:alignment horizontal="center" vertical="center"/>
    </x:xf>
    <x:xf numFmtId="0" fontId="28" fillId="17" borderId="0" xfId="7" applyFont="1" applyFill="1"/>
    <x:xf numFmtId="0" fontId="20" fillId="17" borderId="0" xfId="7" applyFont="1" applyFill="1" applyAlignment="1">
      <x:alignment vertical="center"/>
    </x:xf>
    <x:xf numFmtId="9" fontId="20" fillId="17" borderId="0" xfId="8" applyFont="1" applyFill="1" applyBorder="1" applyAlignment="1">
      <x:alignment vertical="center"/>
    </x:xf>
    <x:xf numFmtId="0" fontId="22" fillId="20" borderId="12" xfId="7" applyFont="1" applyFill="1" applyBorder="1" applyAlignment="1">
      <x:alignment vertical="center"/>
    </x:xf>
    <x:xf numFmtId="0" fontId="22" fillId="20" borderId="12" xfId="7" applyFont="1" applyFill="1" applyBorder="1" applyAlignment="1">
      <x:alignment horizontal="center" vertical="center" wrapText="1"/>
    </x:xf>
    <x:xf numFmtId="0" fontId="22" fillId="20" borderId="12" xfId="7" applyFont="1" applyFill="1" applyBorder="1" applyAlignment="1">
      <x:alignment horizontal="center" vertical="center"/>
    </x:xf>
    <x:xf numFmtId="0" fontId="22" fillId="20" borderId="12" xfId="7" applyFont="1" applyFill="1" applyBorder="1" applyAlignment="1">
      <x:alignment horizontal="center" vertical="center"/>
    </x:xf>
    <x:xf numFmtId="0" fontId="22" fillId="20" borderId="12" xfId="7" applyFont="1" applyFill="1" applyBorder="1" applyAlignment="1">
      <x:alignment vertical="center"/>
    </x:xf>
    <x:xf numFmtId="0" fontId="20" fillId="17" borderId="9" xfId="7" applyFont="1" applyFill="1" applyBorder="1" applyAlignment="1">
      <x:alignment vertical="center" wrapText="1"/>
    </x:xf>
    <x:xf numFmtId="0" fontId="20" fillId="17" borderId="9" xfId="7" applyFont="1" applyFill="1" applyBorder="1" applyAlignment="1">
      <x:alignment horizontal="center" vertical="center" wrapText="1"/>
    </x:xf>
    <x:xf numFmtId="0" fontId="20" fillId="17" borderId="9" xfId="7" applyFont="1" applyFill="1" applyBorder="1" applyAlignment="1">
      <x:alignment horizontal="center" vertical="center" wrapText="1"/>
    </x:xf>
    <x:xf numFmtId="0" fontId="20" fillId="17" borderId="9" xfId="7" applyFont="1" applyFill="1" applyBorder="1" applyAlignment="1">
      <x:alignment vertical="center" wrapText="1"/>
    </x:xf>
    <x:xf numFmtId="0" fontId="20" fillId="17" borderId="9" xfId="7" applyFont="1" applyFill="1" applyBorder="1"/>
    <x:xf numFmtId="0" fontId="29" fillId="17" borderId="9" xfId="7" applyFont="1" applyFill="1" applyBorder="1" applyAlignment="1">
      <x:alignment horizontal="center" vertical="center" wrapText="1"/>
    </x:xf>
    <x:xf numFmtId="0" fontId="20" fillId="10" borderId="16" xfId="3" applyFont="1" applyAlignment="1">
      <x:alignment horizontal="center" vertical="center" wrapText="1"/>
    </x:xf>
    <x:xf numFmtId="0" fontId="30" fillId="17" borderId="0" xfId="7" applyFont="1" applyFill="1" applyAlignment="1">
      <x:alignment horizontal="center"/>
    </x:xf>
    <x:xf numFmtId="2" fontId="20" fillId="18" borderId="9" xfId="7" applyNumberFormat="1" applyFont="1" applyFill="1" applyBorder="1" applyAlignment="1">
      <x:alignment horizontal="left"/>
    </x:xf>
    <x:xf numFmtId="2" fontId="22" fillId="16" borderId="9" xfId="7" applyNumberFormat="1" applyFont="1" applyFill="1" applyBorder="1" applyAlignment="1">
      <x:alignment horizontal="center" vertical="center" wrapText="1"/>
    </x:xf>
    <x:xf numFmtId="49" fontId="19" fillId="16" borderId="17" xfId="1" applyNumberFormat="1" applyFont="1" applyFill="1" applyBorder="1" applyAlignment="1">
      <x:alignment horizontal="center" vertical="center" wrapText="1"/>
    </x:xf>
    <x:xf numFmtId="2" fontId="20" fillId="19" borderId="54" xfId="7" applyNumberFormat="1" applyFont="1" applyFill="1" applyBorder="1" applyAlignment="1">
      <x:alignment horizontal="center" vertical="center"/>
    </x:xf>
    <x:xf numFmtId="49" fontId="3" fillId="0" borderId="67" xfId="1" applyNumberFormat="1" applyBorder="1" applyAlignment="1">
      <x:alignment horizontal="center" vertical="center" wrapText="1"/>
    </x:xf>
    <x:xf numFmtId="49" fontId="3" fillId="0" borderId="68" xfId="1" applyNumberFormat="1" applyBorder="1" applyAlignment="1">
      <x:alignment horizontal="center" vertical="center" wrapText="1"/>
    </x:xf>
    <x:xf numFmtId="0" fontId="20" fillId="22" borderId="16" xfId="3" applyFont="1" applyFill="1" applyAlignment="1">
      <x:alignment horizontal="center" vertical="center" wrapText="1"/>
    </x:xf>
    <x:xf numFmtId="0" fontId="32" fillId="17" borderId="9" xfId="7" applyFont="1" applyFill="1" applyBorder="1" applyAlignment="1">
      <x:alignment horizontal="center" vertical="center" wrapText="1"/>
    </x:xf>
    <x:xf numFmtId="0" fontId="32" fillId="12" borderId="9" xfId="7" applyFont="1" applyFill="1" applyBorder="1" applyAlignment="1">
      <x:alignment horizontal="center" vertical="center" wrapText="1"/>
    </x:xf>
    <x:xf numFmtId="0" fontId="32" fillId="23" borderId="9" xfId="7" applyFont="1" applyFill="1" applyBorder="1" applyAlignment="1">
      <x:alignment horizontal="center" vertical="center" wrapText="1"/>
    </x:xf>
    <x:xf numFmtId="0" fontId="20" fillId="24" borderId="9" xfId="7" applyFont="1" applyFill="1" applyBorder="1" applyAlignment="1">
      <x:alignment vertical="center" wrapText="1"/>
    </x:xf>
    <x:xf numFmtId="0" fontId="20" fillId="13" borderId="9" xfId="7" applyFont="1" applyFill="1" applyBorder="1" applyAlignment="1">
      <x:alignment vertical="center" wrapText="1"/>
    </x:xf>
    <x:xf numFmtId="0" fontId="20" fillId="17" borderId="0" xfId="0" applyFont="1" applyFill="1" applyAlignment="1">
      <x:alignment horizontal="center"/>
    </x:xf>
    <x:xf numFmtId="0" fontId="3" fillId="17" borderId="0" xfId="1" applyFill="1"/>
    <x:xf numFmtId="0" fontId="14" fillId="17" borderId="0" xfId="1" applyFont="1" applyFill="1" applyAlignment="1">
      <x:alignment horizontal="center"/>
    </x:xf>
    <x:xf numFmtId="49" fontId="3" fillId="17" borderId="0" xfId="1" applyNumberFormat="1" applyFill="1" applyAlignment="1">
      <x:alignment horizontal="center"/>
    </x:xf>
    <x:xf numFmtId="0" fontId="38" fillId="17" borderId="9" xfId="0" applyFont="1" applyFill="1" applyBorder="1" applyAlignment="1">
      <x:alignment horizontal="center" vertical="center" wrapText="1"/>
    </x:xf>
    <x:xf numFmtId="0" fontId="39" fillId="17" borderId="0" xfId="7" applyFont="1" applyFill="1" applyAlignment="1">
      <x:alignment horizontal="center"/>
    </x:xf>
    <x:xf numFmtId="0" fontId="39" fillId="17" borderId="0" xfId="7" applyFont="1" applyFill="1"/>
    <x:xf numFmtId="49" fontId="40" fillId="13" borderId="32" xfId="4" applyNumberFormat="1" applyFont="1" applyFill="1" applyBorder="1" applyAlignment="1">
      <x:alignment horizontal="center" vertical="center" wrapText="1"/>
    </x:xf>
    <x:xf numFmtId="0" fontId="0" fillId="0" borderId="30" xfId="1" applyFont="1" applyBorder="1" applyAlignment="1">
      <x:alignment horizontal="center" vertical="center" wrapText="1"/>
    </x:xf>
    <x:xf numFmtId="0" fontId="0" fillId="0" borderId="30" xfId="1" applyFont="1" applyBorder="1" applyAlignment="1">
      <x:alignment vertical="center" wrapText="1"/>
    </x:xf>
    <x:xf numFmtId="0" fontId="20" fillId="17" borderId="35" xfId="7" applyFont="1" applyFill="1" applyBorder="1" applyAlignment="1">
      <x:alignment horizontal="center" vertical="center" wrapText="1"/>
    </x:xf>
    <x:xf numFmtId="0" fontId="20" fillId="17" borderId="60" xfId="7" applyFont="1" applyFill="1" applyBorder="1" applyAlignment="1">
      <x:alignment horizontal="center" vertical="center" wrapText="1"/>
    </x:xf>
    <x:xf numFmtId="0" fontId="20" fillId="17" borderId="48" xfId="7" applyFont="1" applyFill="1" applyBorder="1" applyAlignment="1">
      <x:alignment horizontal="center" vertical="center" wrapText="1"/>
    </x:xf>
    <x:xf numFmtId="0" fontId="20" fillId="17" borderId="35" xfId="0" applyFont="1" applyFill="1" applyBorder="1" applyAlignment="1">
      <x:alignment horizontal="center" vertical="center" wrapText="1"/>
    </x:xf>
    <x:xf numFmtId="0" fontId="20" fillId="17" borderId="60" xfId="0" applyFont="1" applyFill="1" applyBorder="1" applyAlignment="1">
      <x:alignment horizontal="center" vertical="center" wrapText="1"/>
    </x:xf>
    <x:xf numFmtId="0" fontId="20" fillId="17" borderId="48" xfId="0" applyFont="1" applyFill="1" applyBorder="1" applyAlignment="1">
      <x:alignment horizontal="center" vertical="center" wrapText="1"/>
    </x:xf>
    <x:xf numFmtId="14" fontId="20" fillId="17" borderId="37" xfId="0" applyNumberFormat="1" applyFont="1" applyFill="1" applyBorder="1" applyAlignment="1">
      <x:alignment horizontal="center" vertical="center" wrapText="1"/>
    </x:xf>
    <x:xf numFmtId="0" fontId="38" fillId="17" borderId="53" xfId="0" applyFont="1" applyFill="1" applyBorder="1" applyAlignment="1">
      <x:alignment horizontal="left" vertical="center" wrapText="1"/>
    </x:xf>
    <x:xf numFmtId="0" fontId="38" fillId="17" borderId="56" xfId="0" applyFont="1" applyFill="1" applyBorder="1" applyAlignment="1">
      <x:alignment horizontal="left" vertical="center" wrapText="1"/>
    </x:xf>
    <x:xf numFmtId="0" fontId="38" fillId="17" borderId="57" xfId="0" applyFont="1" applyFill="1" applyBorder="1" applyAlignment="1">
      <x:alignment horizontal="left" vertical="center" wrapText="1"/>
    </x:xf>
    <x:xf numFmtId="0" fontId="38" fillId="17" borderId="37" xfId="0" applyFont="1" applyFill="1" applyBorder="1" applyAlignment="1">
      <x:alignment horizontal="left" vertical="center" wrapText="1"/>
    </x:xf>
    <x:xf numFmtId="0" fontId="38" fillId="17" borderId="58" xfId="0" applyFont="1" applyFill="1" applyBorder="1" applyAlignment="1">
      <x:alignment horizontal="left" vertical="center" wrapText="1"/>
    </x:xf>
    <x:xf numFmtId="0" fontId="38" fillId="17" borderId="59" xfId="0" applyFont="1" applyFill="1" applyBorder="1" applyAlignment="1">
      <x:alignment horizontal="left" vertical="center" wrapText="1"/>
    </x:xf>
    <x:xf numFmtId="0" fontId="20" fillId="17" borderId="53" xfId="0" applyFont="1" applyFill="1" applyBorder="1" applyAlignment="1">
      <x:alignment horizontal="center" vertical="center" wrapText="1"/>
    </x:xf>
    <x:xf numFmtId="0" fontId="38" fillId="25" borderId="35" xfId="0" applyFont="1" applyFill="1" applyBorder="1" applyAlignment="1">
      <x:alignment horizontal="center" vertical="center" wrapText="1"/>
    </x:xf>
    <x:xf numFmtId="0" fontId="38" fillId="25" borderId="60" xfId="0" applyFont="1" applyFill="1" applyBorder="1" applyAlignment="1">
      <x:alignment horizontal="center" vertical="center" wrapText="1"/>
    </x:xf>
    <x:xf numFmtId="0" fontId="38" fillId="25" borderId="48" xfId="0" applyFont="1" applyFill="1" applyBorder="1" applyAlignment="1">
      <x:alignment horizontal="center" vertical="center" wrapText="1"/>
    </x:xf>
    <x:xf numFmtId="0" fontId="12" fillId="9" borderId="45" xfId="2" applyBorder="1" applyAlignment="1">
      <x:alignment horizontal="center" vertical="center"/>
    </x:xf>
    <x:xf numFmtId="0" fontId="12" fillId="9" borderId="46" xfId="2" applyBorder="1" applyAlignment="1">
      <x:alignment horizontal="center" vertical="center"/>
    </x:xf>
    <x:xf numFmtId="0" fontId="12" fillId="9" borderId="47" xfId="2" applyBorder="1" applyAlignment="1">
      <x:alignment horizontal="center" vertical="center"/>
    </x:xf>
    <x:xf numFmtId="0" fontId="22" fillId="20" borderId="54" xfId="7" applyFont="1" applyFill="1" applyBorder="1" applyAlignment="1">
      <x:alignment horizontal="center" vertical="center"/>
    </x:xf>
    <x:xf numFmtId="0" fontId="22" fillId="20" borderId="55" xfId="7" applyFont="1" applyFill="1" applyBorder="1" applyAlignment="1">
      <x:alignment horizontal="center" vertical="center"/>
    </x:xf>
    <x:xf numFmtId="0" fontId="33" fillId="18" borderId="9" xfId="7" applyFont="1" applyFill="1" applyBorder="1" applyAlignment="1">
      <x:alignment horizontal="right" vertical="center"/>
    </x:xf>
    <x:xf numFmtId="2" fontId="20" fillId="19" borderId="54" xfId="7" applyNumberFormat="1" applyFont="1" applyFill="1" applyBorder="1" applyAlignment="1">
      <x:alignment horizontal="center" vertical="center"/>
    </x:xf>
    <x:xf numFmtId="0" fontId="34" fillId="9" borderId="0" xfId="2" applyFont="1" applyBorder="1" applyAlignment="1">
      <x:alignment horizontal="center" vertical="center"/>
    </x:xf>
    <x:xf numFmtId="164" fontId="27" fillId="19" borderId="53" xfId="7" applyNumberFormat="1" applyFont="1" applyFill="1" applyBorder="1" applyAlignment="1">
      <x:alignment horizontal="center" vertical="center" wrapText="1"/>
    </x:xf>
    <x:xf numFmtId="164" fontId="27" fillId="19" borderId="56" xfId="7" applyNumberFormat="1" applyFont="1" applyFill="1" applyBorder="1" applyAlignment="1">
      <x:alignment horizontal="center" vertical="center" wrapText="1"/>
    </x:xf>
    <x:xf numFmtId="164" fontId="27" fillId="19" borderId="57" xfId="7" applyNumberFormat="1" applyFont="1" applyFill="1" applyBorder="1" applyAlignment="1">
      <x:alignment horizontal="center" vertical="center" wrapText="1"/>
    </x:xf>
    <x:xf numFmtId="164" fontId="27" fillId="19" borderId="37" xfId="7" applyNumberFormat="1" applyFont="1" applyFill="1" applyBorder="1" applyAlignment="1">
      <x:alignment horizontal="center" vertical="center" wrapText="1"/>
    </x:xf>
    <x:xf numFmtId="164" fontId="27" fillId="19" borderId="58" xfId="7" applyNumberFormat="1" applyFont="1" applyFill="1" applyBorder="1" applyAlignment="1">
      <x:alignment horizontal="center" vertical="center" wrapText="1"/>
    </x:xf>
    <x:xf numFmtId="164" fontId="27" fillId="19" borderId="59" xfId="7" applyNumberFormat="1" applyFont="1" applyFill="1" applyBorder="1" applyAlignment="1">
      <x:alignment horizontal="center" vertical="center" wrapText="1"/>
    </x:xf>
    <x:xf numFmtId="0" fontId="20" fillId="19" borderId="9" xfId="7" applyFont="1" applyFill="1" applyBorder="1" applyAlignment="1">
      <x:alignment horizontal="right" vertical="center"/>
    </x:xf>
    <x:xf numFmtId="2" fontId="31" fillId="14" borderId="35" xfId="5" applyNumberFormat="1" applyFont="1" applyBorder="1" applyAlignment="1">
      <x:alignment horizontal="center" vertical="center" wrapText="1"/>
    </x:xf>
    <x:xf numFmtId="2" fontId="31" fillId="14" borderId="60" xfId="5" applyNumberFormat="1" applyFont="1" applyBorder="1" applyAlignment="1">
      <x:alignment horizontal="center" vertical="center" wrapText="1"/>
    </x:xf>
    <x:xf numFmtId="2" fontId="31" fillId="14" borderId="48" xfId="5" applyNumberFormat="1" applyFont="1" applyBorder="1" applyAlignment="1">
      <x:alignment horizontal="center" vertical="center" wrapText="1"/>
    </x:xf>
    <x:xf numFmtId="0" fontId="22" fillId="20" borderId="37" xfId="7" applyFont="1" applyFill="1" applyBorder="1" applyAlignment="1">
      <x:alignment horizontal="center" vertical="center"/>
    </x:xf>
    <x:xf numFmtId="0" fontId="22" fillId="20" borderId="58" xfId="7" applyFont="1" applyFill="1" applyBorder="1" applyAlignment="1">
      <x:alignment horizontal="center" vertical="center"/>
    </x:xf>
    <x:xf numFmtId="0" fontId="22" fillId="20" borderId="59" xfId="7" applyFont="1" applyFill="1" applyBorder="1" applyAlignment="1">
      <x:alignment horizontal="center" vertical="center"/>
    </x:xf>
    <x:xf numFmtId="0" fontId="20" fillId="19" borderId="64" xfId="7" applyFont="1" applyFill="1" applyBorder="1" applyAlignment="1">
      <x:alignment horizontal="right" vertical="center"/>
    </x:xf>
    <x:xf numFmtId="0" fontId="20" fillId="19" borderId="54" xfId="7" applyFont="1" applyFill="1" applyBorder="1" applyAlignment="1">
      <x:alignment horizontal="right" vertical="center"/>
    </x:xf>
    <x:xf numFmtId="164" fontId="26" fillId="19" borderId="53" xfId="7" applyNumberFormat="1" applyFont="1" applyFill="1" applyBorder="1" applyAlignment="1">
      <x:alignment horizontal="center" vertical="center" wrapText="1"/>
    </x:xf>
    <x:xf numFmtId="164" fontId="26" fillId="19" borderId="56" xfId="7" applyNumberFormat="1" applyFont="1" applyFill="1" applyBorder="1" applyAlignment="1">
      <x:alignment horizontal="center" vertical="center" wrapText="1"/>
    </x:xf>
    <x:xf numFmtId="164" fontId="26" fillId="19" borderId="57" xfId="7" applyNumberFormat="1" applyFont="1" applyFill="1" applyBorder="1" applyAlignment="1">
      <x:alignment horizontal="center" vertical="center" wrapText="1"/>
    </x:xf>
    <x:xf numFmtId="164" fontId="26" fillId="19" borderId="37" xfId="7" applyNumberFormat="1" applyFont="1" applyFill="1" applyBorder="1" applyAlignment="1">
      <x:alignment horizontal="center" vertical="center" wrapText="1"/>
    </x:xf>
    <x:xf numFmtId="164" fontId="26" fillId="19" borderId="58" xfId="7" applyNumberFormat="1" applyFont="1" applyFill="1" applyBorder="1" applyAlignment="1">
      <x:alignment horizontal="center" vertical="center" wrapText="1"/>
    </x:xf>
    <x:xf numFmtId="164" fontId="26" fillId="19" borderId="59" xfId="7" applyNumberFormat="1" applyFont="1" applyFill="1" applyBorder="1" applyAlignment="1">
      <x:alignment horizontal="center" vertical="center" wrapText="1"/>
    </x:xf>
    <x:xf numFmtId="9" fontId="20" fillId="19" borderId="9" xfId="8" applyFont="1" applyFill="1" applyBorder="1" applyAlignment="1">
      <x:alignment horizontal="center" vertical="center"/>
    </x:xf>
    <x:xf numFmtId="0" fontId="22" fillId="20" borderId="9" xfId="7" applyFont="1" applyFill="1" applyBorder="1" applyAlignment="1">
      <x:alignment horizontal="center" vertical="center"/>
    </x:xf>
    <x:xf numFmtId="2" fontId="36" fillId="15" borderId="35" xfId="6" applyNumberFormat="1" applyFont="1" applyBorder="1" applyAlignment="1">
      <x:alignment horizontal="center" vertical="center" wrapText="1"/>
    </x:xf>
    <x:xf numFmtId="2" fontId="36" fillId="15" borderId="60" xfId="6" applyNumberFormat="1" applyFont="1" applyBorder="1" applyAlignment="1">
      <x:alignment horizontal="center" vertical="center" wrapText="1"/>
    </x:xf>
    <x:xf numFmtId="2" fontId="36" fillId="15" borderId="48" xfId="6" applyNumberFormat="1" applyFont="1" applyBorder="1" applyAlignment="1">
      <x:alignment horizontal="center" vertical="center" wrapText="1"/>
    </x:xf>
    <x:xf numFmtId="2" fontId="37" fillId="21" borderId="35" xfId="9" applyNumberFormat="1" applyFont="1" applyBorder="1" applyAlignment="1">
      <x:alignment horizontal="center" vertical="center" wrapText="1"/>
    </x:xf>
    <x:xf numFmtId="2" fontId="37" fillId="21" borderId="60" xfId="9" applyNumberFormat="1" applyFont="1" applyBorder="1" applyAlignment="1">
      <x:alignment horizontal="center" vertical="center" wrapText="1"/>
    </x:xf>
    <x:xf numFmtId="2" fontId="37" fillId="21" borderId="48" xfId="9" applyNumberFormat="1" applyFont="1" applyBorder="1" applyAlignment="1">
      <x:alignment horizontal="center" vertical="center" wrapText="1"/>
    </x:xf>
    <x:xf numFmtId="0" fontId="33" fillId="18" borderId="9" xfId="7" applyFont="1" applyFill="1" applyBorder="1" applyAlignment="1">
      <x:alignment horizontal="center"/>
    </x:xf>
    <x:xf numFmtId="0" fontId="23" fillId="19" borderId="9" xfId="7" applyFont="1" applyFill="1" applyBorder="1" applyAlignment="1">
      <x:alignment horizontal="center" vertical="center" wrapText="1"/>
    </x:xf>
    <x:xf numFmtId="0" fontId="23" fillId="19" borderId="35" xfId="7" applyFont="1" applyFill="1" applyBorder="1" applyAlignment="1">
      <x:alignment horizontal="center" vertical="center" wrapText="1"/>
    </x:xf>
    <x:xf numFmtId="0" fontId="24" fillId="19" borderId="61" xfId="7" applyFont="1" applyFill="1" applyBorder="1" applyAlignment="1">
      <x:alignment horizontal="center" vertical="center"/>
    </x:xf>
    <x:xf numFmtId="0" fontId="24" fillId="19" borderId="62" xfId="7" applyFont="1" applyFill="1" applyBorder="1" applyAlignment="1">
      <x:alignment horizontal="center" vertical="center"/>
    </x:xf>
    <x:xf numFmtId="0" fontId="24" fillId="19" borderId="63" xfId="7" applyFont="1" applyFill="1" applyBorder="1" applyAlignment="1">
      <x:alignment horizontal="center" vertical="center"/>
    </x:xf>
    <x:xf numFmtId="0" fontId="22" fillId="20" borderId="12" xfId="7" applyFont="1" applyFill="1" applyBorder="1" applyAlignment="1">
      <x:alignment horizontal="center" vertical="center"/>
    </x:xf>
    <x:xf numFmtId="0" fontId="3" fillId="0" borderId="20" xfId="1" applyBorder="1" applyAlignment="1">
      <x:alignment horizontal="center" vertical="center" wrapText="1"/>
    </x:xf>
    <x:xf numFmtId="0" fontId="3" fillId="0" borderId="0" xfId="1" applyAlignment="1">
      <x:alignment horizontal="center" vertical="center" wrapText="1"/>
    </x:xf>
    <x:xf numFmtId="0" fontId="3" fillId="0" borderId="0" xfId="1" applyAlignment="1">
      <x:alignment horizontal="left" vertical="center" wrapText="1"/>
    </x:xf>
    <x:xf numFmtId="0" fontId="3" fillId="0" borderId="26" xfId="1" applyBorder="1" applyAlignment="1">
      <x:alignment horizontal="left" vertical="center" wrapText="1"/>
    </x:xf>
    <x:xf numFmtId="0" fontId="0" fillId="0" borderId="0" xfId="1" applyFont="1" applyAlignment="1">
      <x:alignment horizontal="center" vertical="center" wrapText="1"/>
    </x:xf>
    <x:xf numFmtId="0" fontId="0" fillId="0" borderId="26" xfId="1" applyFont="1" applyBorder="1" applyAlignment="1">
      <x:alignment horizontal="center" vertical="center" wrapText="1"/>
    </x:xf>
    <x:xf numFmtId="2" fontId="14" fillId="0" borderId="41" xfId="1" applyNumberFormat="1" applyFont="1" applyBorder="1" applyAlignment="1">
      <x:alignment horizontal="center" vertical="center" wrapText="1"/>
    </x:xf>
    <x:xf numFmtId="2" fontId="14" fillId="0" borderId="51" xfId="1" applyNumberFormat="1" applyFont="1" applyBorder="1" applyAlignment="1">
      <x:alignment horizontal="center" vertical="center" wrapText="1"/>
    </x:xf>
    <x:xf numFmtId="2" fontId="14" fillId="0" borderId="52" xfId="1" applyNumberFormat="1" applyFont="1" applyBorder="1" applyAlignment="1">
      <x:alignment horizontal="center" vertical="center" wrapText="1"/>
    </x:xf>
    <x:xf numFmtId="0" fontId="3" fillId="0" borderId="26" xfId="1" applyBorder="1" applyAlignment="1">
      <x:alignment horizontal="center" vertical="center" wrapText="1"/>
    </x:xf>
    <x:xf numFmtId="0" fontId="0" fillId="0" borderId="20" xfId="1" applyFont="1" applyBorder="1" applyAlignment="1">
      <x:alignment horizontal="center" vertical="center" wrapText="1"/>
    </x:xf>
    <x:xf numFmtId="0" fontId="3" fillId="0" borderId="19" xfId="1" applyBorder="1" applyAlignment="1">
      <x:alignment horizontal="center" vertical="center" wrapText="1"/>
    </x:xf>
    <x:xf numFmtId="0" fontId="3" fillId="0" borderId="23" xfId="1" applyBorder="1" applyAlignment="1">
      <x:alignment horizontal="center" vertical="center" wrapText="1"/>
    </x:xf>
    <x:xf numFmtId="0" fontId="3" fillId="0" borderId="25" xfId="1" applyBorder="1" applyAlignment="1">
      <x:alignment horizontal="center" vertical="center" wrapText="1"/>
    </x:xf>
    <x:xf numFmtId="0" fontId="15" fillId="9" borderId="45" xfId="2" applyFont="1" applyBorder="1" applyAlignment="1">
      <x:alignment horizontal="center" vertical="center"/>
    </x:xf>
    <x:xf numFmtId="0" fontId="15" fillId="9" borderId="46" xfId="2" applyFont="1" applyBorder="1" applyAlignment="1">
      <x:alignment horizontal="center" vertical="center"/>
    </x:xf>
    <x:xf numFmtId="0" fontId="15" fillId="9" borderId="47" xfId="2" applyFont="1" applyBorder="1" applyAlignment="1">
      <x:alignment horizontal="center" vertical="center"/>
    </x:xf>
    <x:xf numFmtId="0" fontId="3" fillId="0" borderId="24" xfId="1" applyBorder="1" applyAlignment="1">
      <x:alignment horizontal="center" vertical="center" wrapText="1"/>
    </x:xf>
    <x:xf numFmtId="2" fontId="14" fillId="0" borderId="50" xfId="1" applyNumberFormat="1" applyFont="1" applyBorder="1" applyAlignment="1">
      <x:alignment horizontal="center" vertical="center" wrapText="1"/>
    </x:xf>
    <x:xf numFmtId="2" fontId="14" fillId="0" borderId="65" xfId="1" applyNumberFormat="1" applyFont="1" applyBorder="1" applyAlignment="1">
      <x:alignment horizontal="center" vertical="center" wrapText="1"/>
    </x:xf>
    <x:xf numFmtId="2" fontId="14" fillId="0" borderId="66" xfId="1" applyNumberFormat="1" applyFont="1" applyBorder="1" applyAlignment="1">
      <x:alignment horizontal="center" vertical="center" wrapText="1"/>
    </x:xf>
    <x:xf numFmtId="0" fontId="7" fillId="0" borderId="8" xfId="1" applyFont="1" applyBorder="1" applyAlignment="1">
      <x:alignment horizontal="center" vertical="center" wrapText="1"/>
    </x:xf>
    <x:xf numFmtId="49" fontId="11" fillId="0" borderId="13" xfId="1" applyNumberFormat="1" applyFont="1" applyBorder="1" applyAlignment="1">
      <x:alignment horizontal="center" vertical="center" wrapText="1"/>
    </x:xf>
    <x:xf numFmtId="49" fontId="11" fillId="0" borderId="2" xfId="1" applyNumberFormat="1" applyFont="1" applyBorder="1" applyAlignment="1">
      <x:alignment horizontal="center" vertical="center" wrapText="1"/>
    </x:xf>
    <x:xf numFmtId="49" fontId="11" fillId="0" borderId="4" xfId="1" applyNumberFormat="1" applyFont="1" applyBorder="1" applyAlignment="1">
      <x:alignment horizontal="center" vertical="center" wrapText="1"/>
    </x:xf>
    <x:xf numFmtId="0" fontId="11" fillId="0" borderId="13" xfId="1" applyFont="1" applyBorder="1" applyAlignment="1">
      <x:alignment horizontal="center" vertical="center" wrapText="1"/>
    </x:xf>
    <x:xf numFmtId="0" fontId="11" fillId="0" borderId="2" xfId="1" applyFont="1" applyBorder="1" applyAlignment="1">
      <x:alignment horizontal="center" vertical="center" wrapText="1"/>
    </x:xf>
    <x:xf numFmtId="0" fontId="8" fillId="0" borderId="13" xfId="1" applyFont="1" applyBorder="1" applyAlignment="1">
      <x:alignment horizontal="center" vertical="center" wrapText="1"/>
    </x:xf>
    <x:xf numFmtId="0" fontId="8" fillId="0" borderId="4" xfId="1" applyFont="1" applyBorder="1" applyAlignment="1">
      <x:alignment horizontal="center" vertical="center" wrapText="1"/>
    </x:xf>
    <x:xf numFmtId="0" fontId="8" fillId="0" borderId="2" xfId="1" applyFont="1" applyBorder="1" applyAlignment="1">
      <x:alignment horizontal="center" vertical="center" wrapText="1"/>
    </x:xf>
    <x:xf numFmtId="0" fontId="38" fillId="17" borderId="53" xfId="0" applyNumberFormat="1" applyFont="1" applyFill="1" applyBorder="1" applyAlignment="1">
      <x:alignment horizontal="left" vertical="center" wrapText="1"/>
    </x:xf>
    <x:xf numFmtId="0" fontId="38" fillId="17" borderId="56" xfId="0" applyNumberFormat="1" applyFont="1" applyFill="1" applyBorder="1" applyAlignment="1">
      <x:alignment horizontal="left" vertical="center" wrapText="1"/>
    </x:xf>
    <x:xf numFmtId="200" fontId="20" fillId="17" borderId="9" xfId="0" applyNumberFormat="1" applyFont="1" applyFill="1" applyBorder="1"/>
    <x:xf numFmtId="0" fontId="20" fillId="17" borderId="9" xfId="0" applyNumberFormat="1" applyFont="1" applyFill="1" applyBorder="1" applyAlignment="1">
      <x:alignment wrapText="1"/>
    </x:xf>
    <x:xf numFmtId="0" fontId="20" fillId="17" borderId="9" xfId="0" applyNumberFormat="1" applyFont="1" applyFill="1" applyBorder="1" applyAlignment="1">
      <x:alignment horizontal="center" vertical="center" wrapText="1"/>
    </x:xf>
    <x:xf numFmtId="0" fontId="20" fillId="17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6" borderId="21" xfId="0" applyNumberFormat="1" applyFont="1" applyFill="1" applyBorder="1" applyAlignment="1">
      <x:alignment horizontal="center" vertical="center" wrapText="1"/>
    </x:xf>
    <x:xf numFmtId="0" fontId="0" fillId="26" borderId="9" xfId="0" applyNumberFormat="1" applyFont="1" applyFill="1" applyBorder="1" applyAlignment="1">
      <x:alignment horizontal="center" vertical="center" wrapText="1"/>
    </x:xf>
    <x:xf numFmtId="0" fontId="0" fillId="26" borderId="11" xfId="0" applyNumberFormat="1" applyFont="1" applyFill="1" applyBorder="1" applyAlignment="1">
      <x:alignment horizontal="center" vertical="center" wrapText="1"/>
    </x:xf>
    <x:xf numFmtId="0" fontId="0" fillId="26" borderId="27" xfId="0" applyNumberFormat="1" applyFont="1" applyFill="1" applyBorder="1" applyAlignment="1">
      <x:alignment horizontal="center" vertical="center" wrapText="1"/>
    </x:xf>
    <x:xf numFmtId="0" fontId="0" fillId="26" borderId="31" xfId="0" applyNumberFormat="1" applyFont="1" applyFill="1" applyBorder="1" applyAlignment="1">
      <x:alignment horizontal="center" vertical="center" wrapText="1"/>
    </x:xf>
    <x:xf numFmtId="0" fontId="0" fillId="26" borderId="12" xfId="0" applyNumberFormat="1" applyFont="1" applyFill="1" applyBorder="1" applyAlignment="1">
      <x:alignment horizontal="center" vertical="center" wrapText="1"/>
    </x:xf>
    <x:xf numFmtId="0" fontId="41" fillId="26" borderId="21" xfId="0" applyNumberFormat="1" applyFont="1" applyFill="1" applyBorder="1" applyAlignment="1">
      <x:alignment horizontal="center" vertical="center" wrapText="1"/>
    </x:xf>
    <x:xf numFmtId="0" fontId="41" fillId="26" borderId="9" xfId="0" applyNumberFormat="1" applyFont="1" applyFill="1" applyBorder="1" applyAlignment="1">
      <x:alignment horizontal="center" vertical="center" wrapText="1"/>
    </x:xf>
    <x:xf numFmtId="0" fontId="41" fillId="26" borderId="11" xfId="0" applyNumberFormat="1" applyFont="1" applyFill="1" applyBorder="1" applyAlignment="1">
      <x:alignment horizontal="center" vertical="center" wrapText="1"/>
    </x:xf>
    <x:xf numFmtId="0" fontId="41" fillId="26" borderId="27" xfId="0" applyNumberFormat="1" applyFont="1" applyFill="1" applyBorder="1" applyAlignment="1">
      <x:alignment horizontal="center" vertical="center" wrapText="1"/>
    </x:xf>
    <x:xf numFmtId="0" fontId="41" fillId="26" borderId="31" xfId="0" applyNumberFormat="1" applyFont="1" applyFill="1" applyBorder="1" applyAlignment="1">
      <x:alignment horizontal="center" vertical="center" wrapText="1"/>
    </x:xf>
    <x:xf numFmtId="0" fontId="41" fillId="26" borderId="12" xfId="0" applyNumberFormat="1" applyFont="1" applyFill="1" applyBorder="1" applyAlignment="1">
      <x:alignment horizontal="center" vertical="center" wrapText="1"/>
    </x:xf>
    <x:xf numFmtId="0" fontId="0" fillId="26" borderId="48" xfId="0" applyNumberFormat="1" applyFont="1" applyFill="1" applyBorder="1" applyAlignment="1">
      <x:alignment horizontal="center" vertical="center" wrapText="1"/>
    </x:xf>
    <x:xf numFmtId="0" fontId="0" fillId="26" borderId="23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horizontal="center" vertical="center" wrapText="1"/>
    </x:xf>
    <x:xf numFmtId="0" fontId="0" fillId="26" borderId="26" xfId="0" applyNumberFormat="1" applyFont="1" applyFill="1" applyBorder="1" applyAlignment="1">
      <x:alignment horizontal="center" vertical="center" wrapText="1"/>
    </x:xf>
    <x:xf numFmtId="0" fontId="0" fillId="26" borderId="49" xfId="0" applyNumberFormat="1" applyFont="1" applyFill="1" applyBorder="1" applyAlignment="1">
      <x:alignment horizontal="center" vertical="center" wrapText="1"/>
    </x:xf>
    <x:xf numFmtId="0" fontId="0" fillId="26" borderId="30" xfId="0" applyNumberFormat="1" applyFont="1" applyFill="1" applyBorder="1" applyAlignment="1">
      <x:alignment horizontal="center" vertical="center" wrapText="1"/>
    </x:xf>
    <x:xf numFmtId="0" fontId="0" fillId="26" borderId="40" xfId="0" applyNumberFormat="1" applyFont="1" applyFill="1" applyBorder="1" applyAlignment="1">
      <x:alignment horizontal="center" vertical="center" wrapText="1"/>
    </x:xf>
    <x:xf numFmtId="0" fontId="0" fillId="26" borderId="41" xfId="0" applyNumberFormat="1" applyFont="1" applyFill="1" applyBorder="1" applyAlignment="1">
      <x:alignment horizontal="center" vertical="center" wrapText="1"/>
    </x:xf>
    <x:xf numFmtId="0" fontId="0" fillId="26" borderId="43" xfId="0" applyNumberFormat="1" applyFont="1" applyFill="1" applyBorder="1" applyAlignment="1">
      <x:alignment horizontal="center" vertical="center" wrapText="1"/>
    </x:xf>
    <x:xf numFmtId="0" fontId="0" fillId="26" borderId="25" xfId="0" applyNumberFormat="1" applyFont="1" applyFill="1" applyBorder="1" applyAlignment="1">
      <x:alignment horizontal="center" vertical="center" wrapText="1"/>
    </x:xf>
    <x:xf numFmtId="0" fontId="0" fillId="26" borderId="20" xfId="0" applyNumberFormat="1" applyFont="1" applyFill="1" applyBorder="1" applyAlignment="1">
      <x:alignment horizontal="center" vertical="center" wrapText="1"/>
    </x:xf>
    <x:xf numFmtId="0" fontId="0" fillId="26" borderId="38" xfId="0" applyNumberFormat="1" applyFont="1" applyFill="1" applyBorder="1" applyAlignment="1">
      <x:alignment horizontal="center" vertical="center" wrapText="1"/>
    </x:xf>
    <x:xf numFmtId="0" fontId="41" fillId="26" borderId="48" xfId="0" applyNumberFormat="1" applyFont="1" applyFill="1" applyBorder="1" applyAlignment="1">
      <x:alignment horizontal="center" vertical="center" wrapText="1"/>
    </x:xf>
    <x:xf numFmtId="0" fontId="41" fillId="26" borderId="23" xfId="0" applyNumberFormat="1" applyFont="1" applyFill="1" applyBorder="1" applyAlignment="1">
      <x:alignment horizontal="center" vertical="center" wrapText="1"/>
    </x:xf>
    <x:xf numFmtId="0" fontId="41" fillId="26" borderId="0" xfId="0" applyNumberFormat="1" applyFont="1" applyFill="1" applyBorder="1" applyAlignment="1">
      <x:alignment horizontal="center" vertical="center" wrapText="1"/>
    </x:xf>
    <x:xf numFmtId="0" fontId="41" fillId="26" borderId="26" xfId="0" applyNumberFormat="1" applyFont="1" applyFill="1" applyBorder="1" applyAlignment="1">
      <x:alignment horizontal="center" vertical="center" wrapText="1"/>
    </x:xf>
    <x:xf numFmtId="0" fontId="41" fillId="26" borderId="49" xfId="0" applyNumberFormat="1" applyFont="1" applyFill="1" applyBorder="1" applyAlignment="1">
      <x:alignment horizontal="center" vertical="center" wrapText="1"/>
    </x:xf>
    <x:xf numFmtId="0" fontId="41" fillId="26" borderId="30" xfId="0" applyNumberFormat="1" applyFont="1" applyFill="1" applyBorder="1" applyAlignment="1">
      <x:alignment horizontal="center" vertical="center" wrapText="1"/>
    </x:xf>
    <x:xf numFmtId="0" fontId="41" fillId="26" borderId="40" xfId="0" applyNumberFormat="1" applyFont="1" applyFill="1" applyBorder="1" applyAlignment="1">
      <x:alignment horizontal="center" vertical="center" wrapText="1"/>
    </x:xf>
    <x:xf numFmtId="0" fontId="41" fillId="26" borderId="41" xfId="0" applyNumberFormat="1" applyFont="1" applyFill="1" applyBorder="1" applyAlignment="1">
      <x:alignment horizontal="center" vertical="center" wrapText="1"/>
    </x:xf>
    <x:xf numFmtId="0" fontId="41" fillId="26" borderId="43" xfId="0" applyNumberFormat="1" applyFont="1" applyFill="1" applyBorder="1" applyAlignment="1">
      <x:alignment horizontal="center" vertical="center" wrapText="1"/>
    </x:xf>
    <x:xf numFmtId="0" fontId="41" fillId="26" borderId="25" xfId="0" applyNumberFormat="1" applyFont="1" applyFill="1" applyBorder="1" applyAlignment="1">
      <x:alignment horizontal="center" vertical="center" wrapText="1"/>
    </x:xf>
    <x:xf numFmtId="0" fontId="41" fillId="26" borderId="20" xfId="0" applyNumberFormat="1" applyFont="1" applyFill="1" applyBorder="1" applyAlignment="1">
      <x:alignment horizontal="center" vertical="center" wrapText="1"/>
    </x:xf>
    <x:xf numFmtId="0" fontId="41" fillId="26" borderId="38" xfId="0" applyNumberFormat="1" applyFont="1" applyFill="1" applyBorder="1" applyAlignment="1">
      <x:alignment horizontal="center" vertical="center" wrapText="1"/>
    </x:xf>
    <x:xf numFmtId="2" fontId="4" fillId="26" borderId="41" xfId="0" applyNumberFormat="1" applyFont="1" applyFill="1" applyBorder="1" applyAlignment="1">
      <x:alignment horizontal="center" vertical="center" wrapText="1"/>
    </x:xf>
    <x:xf numFmtId="2" fontId="4" fillId="26" borderId="51" xfId="0" applyNumberFormat="1" applyFont="1" applyFill="1" applyBorder="1" applyAlignment="1">
      <x:alignment horizontal="center" vertical="center" wrapText="1"/>
    </x:xf>
    <x:xf numFmtId="2" fontId="4" fillId="26" borderId="52" xfId="0" applyNumberFormat="1" applyFont="1" applyFill="1" applyBorder="1" applyAlignment="1">
      <x:alignment horizontal="center" vertical="center" wrapText="1"/>
    </x:xf>
    <x:xf numFmtId="2" fontId="4" fillId="26" borderId="31" xfId="0" applyNumberFormat="1" applyFont="1" applyFill="1" applyBorder="1" applyAlignment="1">
      <x:alignment horizontal="center" vertical="center" wrapText="1"/>
    </x:xf>
    <x:xf numFmtId="2" fontId="4" fillId="26" borderId="50" xfId="0" applyNumberFormat="1" applyFont="1" applyFill="1" applyBorder="1" applyAlignment="1">
      <x:alignment horizontal="center" vertical="center" wrapText="1"/>
    </x:xf>
    <x:xf numFmtId="2" fontId="4" fillId="26" borderId="65" xfId="0" applyNumberFormat="1" applyFont="1" applyFill="1" applyBorder="1" applyAlignment="1">
      <x:alignment horizontal="center" vertical="center" wrapText="1"/>
    </x:xf>
    <x:xf numFmtId="2" fontId="4" fillId="26" borderId="66" xfId="0" applyNumberFormat="1" applyFont="1" applyFill="1" applyBorder="1" applyAlignment="1">
      <x:alignment horizontal="center" vertical="center" wrapText="1"/>
    </x:xf>
    <x:xf numFmtId="2" fontId="42" fillId="26" borderId="41" xfId="0" applyNumberFormat="1" applyFont="1" applyFill="1" applyBorder="1" applyAlignment="1">
      <x:alignment horizontal="center" vertical="center" wrapText="1"/>
    </x:xf>
    <x:xf numFmtId="2" fontId="42" fillId="26" borderId="51" xfId="0" applyNumberFormat="1" applyFont="1" applyFill="1" applyBorder="1" applyAlignment="1">
      <x:alignment horizontal="center" vertical="center" wrapText="1"/>
    </x:xf>
    <x:xf numFmtId="2" fontId="42" fillId="26" borderId="52" xfId="0" applyNumberFormat="1" applyFont="1" applyFill="1" applyBorder="1" applyAlignment="1">
      <x:alignment horizontal="center" vertical="center" wrapText="1"/>
    </x:xf>
    <x:xf numFmtId="2" fontId="42" fillId="26" borderId="31" xfId="0" applyNumberFormat="1" applyFont="1" applyFill="1" applyBorder="1" applyAlignment="1">
      <x:alignment horizontal="center" vertical="center" wrapText="1"/>
    </x:xf>
    <x:xf numFmtId="2" fontId="42" fillId="26" borderId="50" xfId="0" applyNumberFormat="1" applyFont="1" applyFill="1" applyBorder="1" applyAlignment="1">
      <x:alignment horizontal="center" vertical="center" wrapText="1"/>
    </x:xf>
    <x:xf numFmtId="2" fontId="42" fillId="26" borderId="65" xfId="0" applyNumberFormat="1" applyFont="1" applyFill="1" applyBorder="1" applyAlignment="1">
      <x:alignment horizontal="center" vertical="center" wrapText="1"/>
    </x:xf>
    <x:xf numFmtId="2" fontId="42" fillId="26" borderId="66" xfId="0" applyNumberFormat="1" applyFont="1" applyFill="1" applyBorder="1" applyAlignment="1">
      <x:alignment horizontal="center" vertical="center" wrapText="1"/>
    </x:xf>
    <x:xf numFmtId="0" fontId="0" fillId="26" borderId="35" xfId="0" applyNumberFormat="1" applyFont="1" applyFill="1" applyBorder="1" applyAlignment="1">
      <x:alignment horizontal="center" vertical="center" wrapText="1"/>
    </x:xf>
    <x:xf numFmtId="0" fontId="0" fillId="26" borderId="33" xfId="0" applyNumberFormat="1" applyFont="1" applyFill="1" applyBorder="1" applyAlignment="1">
      <x:alignment horizontal="center" vertical="center" wrapText="1"/>
    </x:xf>
    <x:xf numFmtId="0" fontId="0" fillId="26" borderId="42" xfId="0" applyNumberFormat="1" applyFont="1" applyFill="1" applyBorder="1" applyAlignment="1">
      <x:alignment horizontal="center" vertical="center" wrapText="1"/>
    </x:xf>
    <x:xf numFmtId="0" fontId="0" fillId="26" borderId="44" xfId="0" applyNumberFormat="1" applyFont="1" applyFill="1" applyBorder="1" applyAlignment="1">
      <x:alignment horizontal="center" vertical="center" wrapText="1"/>
    </x:xf>
    <x:xf numFmtId="0" fontId="0" fillId="26" borderId="24" xfId="0" applyNumberFormat="1" applyFont="1" applyFill="1" applyBorder="1" applyAlignment="1">
      <x:alignment horizontal="center" vertical="center" wrapText="1"/>
    </x:xf>
    <x:xf numFmtId="0" fontId="0" fillId="26" borderId="28" xfId="0" applyNumberFormat="1" applyFont="1" applyFill="1" applyBorder="1" applyAlignment="1">
      <x:alignment horizontal="center" vertical="center" wrapText="1"/>
    </x:xf>
    <x:xf numFmtId="0" fontId="0" fillId="26" borderId="39" xfId="0" applyNumberFormat="1" applyFont="1" applyFill="1" applyBorder="1" applyAlignment="1">
      <x:alignment horizontal="center" vertical="center" wrapText="1"/>
    </x:xf>
    <x:xf numFmtId="0" fontId="41" fillId="26" borderId="35" xfId="0" applyNumberFormat="1" applyFont="1" applyFill="1" applyBorder="1" applyAlignment="1">
      <x:alignment horizontal="center" vertical="center" wrapText="1"/>
    </x:xf>
    <x:xf numFmtId="0" fontId="41" fillId="26" borderId="33" xfId="0" applyNumberFormat="1" applyFont="1" applyFill="1" applyBorder="1" applyAlignment="1">
      <x:alignment horizontal="center" vertical="center" wrapText="1"/>
    </x:xf>
    <x:xf numFmtId="0" fontId="41" fillId="26" borderId="42" xfId="0" applyNumberFormat="1" applyFont="1" applyFill="1" applyBorder="1" applyAlignment="1">
      <x:alignment horizontal="center" vertical="center" wrapText="1"/>
    </x:xf>
    <x:xf numFmtId="0" fontId="41" fillId="26" borderId="44" xfId="0" applyNumberFormat="1" applyFont="1" applyFill="1" applyBorder="1" applyAlignment="1">
      <x:alignment horizontal="center" vertical="center" wrapText="1"/>
    </x:xf>
    <x:xf numFmtId="0" fontId="41" fillId="26" borderId="24" xfId="0" applyNumberFormat="1" applyFont="1" applyFill="1" applyBorder="1" applyAlignment="1">
      <x:alignment horizontal="center" vertical="center" wrapText="1"/>
    </x:xf>
    <x:xf numFmtId="0" fontId="41" fillId="26" borderId="28" xfId="0" applyNumberFormat="1" applyFont="1" applyFill="1" applyBorder="1" applyAlignment="1">
      <x:alignment horizontal="center" vertical="center" wrapText="1"/>
    </x:xf>
    <x:xf numFmtId="0" fontId="41" fillId="26" borderId="39" xfId="0" applyNumberFormat="1" applyFont="1" applyFill="1" applyBorder="1" applyAlignment="1">
      <x:alignment horizontal="center" vertical="center" wrapText="1"/>
    </x:xf>
    <x:xf numFmtId="0" fontId="43" fillId="5" borderId="10" xfId="0" applyNumberFormat="1" applyFont="1" applyFill="1" applyBorder="1" applyAlignment="1">
      <x:alignment horizontal="center" vertical="center" wrapText="1"/>
    </x:xf>
    <x:xf numFmtId="0" fontId="43" fillId="27" borderId="10" xfId="0" applyNumberFormat="1" applyFont="1" applyFill="1" applyBorder="1" applyAlignment="1">
      <x:alignment horizontal="center" vertical="center" wrapText="1"/>
    </x:xf>
    <x:xf numFmtId="0" fontId="20" fillId="19" borderId="9" xfId="0" applyNumberFormat="1" applyFont="1" applyFill="1" applyBorder="1" applyAlignment="1">
      <x:alignment horizontal="right" vertical="center" wrapText="1"/>
    </x:xf>
    <x:xf numFmtId="2" fontId="20" fillId="19" borderId="54" xfId="0" applyNumberFormat="1" applyFont="1" applyFill="1" applyBorder="1" applyAlignment="1">
      <x:alignment horizontal="center" vertical="center" wrapText="1"/>
    </x:xf>
    <x:xf numFmtId="0" fontId="20" fillId="19" borderId="64" xfId="0" applyNumberFormat="1" applyFont="1" applyFill="1" applyBorder="1" applyAlignment="1">
      <x:alignment horizontal="right" vertical="center" wrapText="1"/>
    </x:xf>
    <x:xf numFmtId="0" fontId="20" fillId="19" borderId="54" xfId="0" applyNumberFormat="1" applyFont="1" applyFill="1" applyBorder="1" applyAlignment="1">
      <x:alignment horizontal="right" vertical="center" wrapText="1"/>
    </x:xf>
    <x:xf numFmtId="0" fontId="20" fillId="17" borderId="35" xfId="0" applyNumberFormat="1" applyFont="1" applyFill="1" applyBorder="1" applyAlignment="1">
      <x:alignment horizontal="center" vertical="center" wrapText="1"/>
    </x:xf>
    <x:xf numFmtId="0" fontId="20" fillId="17" borderId="60" xfId="0" applyNumberFormat="1" applyFont="1" applyFill="1" applyBorder="1" applyAlignment="1">
      <x:alignment horizontal="center" vertical="center" wrapText="1"/>
    </x:xf>
    <x:xf numFmtId="0" fontId="20" fillId="17" borderId="48" xfId="0" applyNumberFormat="1" applyFont="1" applyFill="1" applyBorder="1" applyAlignment="1">
      <x:alignment horizontal="center" vertical="center" wrapText="1"/>
    </x:xf>
    <x:xf numFmtId="0" fontId="20" fillId="17" borderId="5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0">
    <x:cellStyle name="Calcolo" xfId="2"/>
    <x:cellStyle name="Colore 4" xfId="4"/>
    <x:cellStyle name="Excel Built-in Normal" xfId="1"/>
    <x:cellStyle name="Neutrale" xfId="6"/>
    <x:cellStyle name="Normale" xfId="0"/>
    <x:cellStyle name="Normale 2" xfId="7"/>
    <x:cellStyle name="Nota" xfId="3"/>
    <x:cellStyle name="Percentuale 2" xfId="8"/>
    <x:cellStyle name="Valore non valido" xfId="9"/>
    <x:cellStyle name="Valore valido" xfId="5"/>
  </x:cellStyles>
  <x:dxfs count="44">
    <x:dxf>
      <x:font>
        <x:b/>
        <x:color theme="0"/>
      </x:font>
      <x:fill>
        <x:patternFill>
          <x:bgColor rgb="FF00B050"/>
        </x:patternFill>
      </x:fill>
    </x:dxf>
    <x:dxf>
      <x:font>
        <x:b/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1"/>
      </x:font>
      <x:fill>
        <x:patternFill>
          <x:bgColor rgb="FFFFFF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C00000"/>
        </x:patternFill>
      </x:fill>
    </x:dxf>
    <x:dxf>
      <x:font>
        <x:color theme="0"/>
      </x:font>
      <x:fill>
        <x:patternFill>
          <x:bgColor rgb="FFC00000"/>
        </x:patternFill>
      </x:fill>
    </x:dxf>
    <x:dxf>
      <x:font>
        <x:color theme="0"/>
      </x:font>
      <x:fill>
        <x:patternFill>
          <x:bgColor rgb="FFC00000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indexed="17"/>
      </x:font>
      <x:fill>
        <x:patternFill>
          <x:bgColor indexed="42"/>
        </x:patternFill>
      </x:fill>
    </x:dxf>
    <x:dxf>
      <x:font>
        <x:color indexed="19"/>
      </x:font>
      <x:fill>
        <x:patternFill>
          <x:bgColor indexed="26"/>
        </x:patternFill>
      </x:fill>
    </x:dxf>
    <x:dxf>
      <x:font>
        <x:color indexed="16"/>
      </x:font>
      <x:fill>
        <x:patternFill>
          <x:bgColor indexed="26"/>
        </x:patternFill>
      </x:fill>
    </x:dxf>
    <x:dxf>
      <x:font>
        <x:color indexed="17"/>
      </x:font>
      <x:fill>
        <x:patternFill>
          <x:bgColor indexed="42"/>
        </x:patternFill>
      </x:fill>
    </x:dxf>
    <x:dxf>
      <x:font>
        <x:color indexed="19"/>
      </x:font>
      <x:fill>
        <x:patternFill>
          <x:bgColor indexed="26"/>
        </x:patternFill>
      </x:fill>
    </x:dxf>
    <x:dxf>
      <x:font>
        <x:color indexed="16"/>
      </x:font>
      <x:fill>
        <x:patternFill>
          <x:bgColor indexed="26"/>
        </x:patternFill>
      </x:fill>
    </x:dxf>
    <x:dxf>
      <x:font>
        <x:color indexed="17"/>
      </x:font>
      <x:fill>
        <x:patternFill>
          <x:bgColor indexed="42"/>
        </x:patternFill>
      </x:fill>
    </x:dxf>
    <x:dxf>
      <x:font>
        <x:color indexed="19"/>
      </x:font>
      <x:fill>
        <x:patternFill>
          <x:bgColor indexed="26"/>
        </x:patternFill>
      </x:fill>
    </x:dxf>
    <x:dxf>
      <x:font>
        <x:color indexed="16"/>
      </x:font>
      <x:fill>
        <x:patternFill>
          <x:bgColor indexed="26"/>
        </x:patternFill>
      </x:fill>
    </x:dxf>
    <x:dxf>
      <x:font>
        <x:color indexed="17"/>
      </x:font>
      <x:fill>
        <x:patternFill>
          <x:bgColor indexed="42"/>
        </x:patternFill>
      </x:fill>
    </x:dxf>
    <x:dxf>
      <x:font>
        <x:color indexed="19"/>
      </x:font>
      <x:fill>
        <x:patternFill>
          <x:bgColor indexed="26"/>
        </x:patternFill>
      </x:fill>
    </x:dxf>
    <x:dxf>
      <x:font>
        <x:color indexed="16"/>
      </x:font>
      <x:fill>
        <x:patternFill>
          <x:bgColor indexed="26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FFFF00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indexed="17"/>
      </x:font>
      <x:fill>
        <x:patternFill>
          <x:bgColor indexed="42"/>
        </x:patternFill>
      </x:fill>
    </x:dxf>
    <x:dxf>
      <x:font>
        <x:color indexed="19"/>
      </x:font>
      <x:fill>
        <x:patternFill>
          <x:bgColor indexed="26"/>
        </x:patternFill>
      </x:fill>
    </x:dxf>
    <x:dxf>
      <x:font>
        <x:color indexed="16"/>
      </x:font>
      <x:fill>
        <x:patternFill>
          <x:bgColor indexed="26"/>
        </x:patternFill>
      </x:fill>
    </x:dxf>
    <x:dxf>
      <x:font>
        <x:color rgb="FF222222"/>
      </x:font>
      <x:fill>
        <x:patternFill patternType="solid">
          <x:bgColor rgb="FFD9EAD3"/>
        </x:patternFill>
      </x:fill>
    </x:dxf>
    <x:dxf>
      <x:font>
        <x:color rgb="FF222222"/>
      </x:font>
      <x:fill>
        <x:patternFill patternType="solid">
          <x:bgColor rgb="FFFFF2CC"/>
        </x:patternFill>
      </x:fill>
    </x:dxf>
    <x:dxf>
      <x:font>
        <x:color rgb="FF222222"/>
      </x:font>
      <x:fill>
        <x:patternFill patternType="solid">
          <x:bgColor rgb="FFF4CCCC"/>
        </x:patternFill>
      </x:fill>
    </x:dxf>
    <x:dxf>
      <x:font>
        <x:color rgb="FF222222"/>
      </x:font>
      <x:fill>
        <x:patternFill patternType="solid">
          <x:bgColor rgb="FFD9EAD3"/>
        </x:patternFill>
      </x:fill>
    </x:dxf>
    <x:dxf>
      <x:font>
        <x:color rgb="FF222222"/>
      </x:font>
      <x:fill>
        <x:patternFill patternType="solid">
          <x:bgColor rgb="FFFFF2CC"/>
        </x:patternFill>
      </x:fill>
    </x:dxf>
    <x:dxf>
      <x:font>
        <x:color rgb="FF222222"/>
      </x:font>
      <x:fill>
        <x:patternFill patternType="solid">
          <x:bgColor rgb="FFF4CCCC"/>
        </x:patternFill>
      </x:fill>
    </x:dxf>
    <x:dxf>
      <x:font>
        <x:color rgb="FF222222"/>
      </x:font>
      <x:fill>
        <x:patternFill patternType="solid">
          <x:bgColor rgb="FFD9EAD3"/>
        </x:patternFill>
      </x:fill>
    </x:dxf>
    <x:dxf>
      <x:font>
        <x:color rgb="FF222222"/>
      </x:font>
      <x:fill>
        <x:patternFill patternType="solid">
          <x:bgColor rgb="FFFFF2CC"/>
        </x:patternFill>
      </x:fill>
    </x:dxf>
    <x:dxf>
      <x:font>
        <x:color rgb="FF222222"/>
      </x:font>
      <x:fill>
        <x:patternFill patternType="solid">
          <x:bgColor rgb="FFF4CCCC"/>
        </x:patternFill>
      </x:fill>
    </x:dxf>
    <x:dxf>
      <x:font>
        <x:color rgb="FF222222"/>
      </x:font>
      <x:fill>
        <x:patternFill patternType="solid">
          <x:bgColor rgb="FFD9EAD3"/>
        </x:patternFill>
      </x:fill>
    </x:dxf>
    <x:dxf>
      <x:font>
        <x:color rgb="FF222222"/>
      </x:font>
      <x:fill>
        <x:patternFill patternType="solid">
          <x:bgColor rgb="FFFFF2CC"/>
        </x:patternFill>
      </x:fill>
    </x:dxf>
    <x:dxf>
      <x:font>
        <x:color rgb="FF222222"/>
      </x:font>
      <x:fill>
        <x:patternFill patternType="solid"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E6E0EC"/>
      <x:rgbColor rgb="00FF0000"/>
      <x:rgbColor rgb="0000FF00"/>
      <x:rgbColor rgb="000000FF"/>
      <x:rgbColor rgb="00FFFF00"/>
      <x:rgbColor rgb="00FF00FF"/>
      <x:rgbColor rgb="0000FFFF"/>
      <x:rgbColor rgb="009C0006"/>
      <x:rgbColor rgb="00006100"/>
      <x:rgbColor rgb="00000080"/>
      <x:rgbColor rgb="009C6500"/>
      <x:rgbColor rgb="00800080"/>
      <x:rgbColor rgb="00008080"/>
      <x:rgbColor rgb="00C0C0C0"/>
      <x:rgbColor rgb="00808080"/>
      <x:rgbColor rgb="009999FF"/>
      <x:rgbColor rgb="00993366"/>
      <x:rgbColor rgb="00F2DCDB"/>
      <x:rgbColor rgb="00C6EFCE"/>
      <x:rgbColor rgb="00660066"/>
      <x:rgbColor rgb="00FF8080"/>
      <x:rgbColor rgb="000066CC"/>
      <x:rgbColor rgb="00C6D9F1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EB9C"/>
      <x:rgbColor rgb="0099CCFF"/>
      <x:rgbColor rgb="00FF99CC"/>
      <x:rgbColor rgb="00CC99FF"/>
      <x:rgbColor rgb="00FFC7CE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caf3deca24d84" /><Relationship Type="http://schemas.openxmlformats.org/officeDocument/2006/relationships/theme" Target="/xl/theme/theme1.xml" Id="Ra173e122967e4e48" /><Relationship Type="http://schemas.openxmlformats.org/officeDocument/2006/relationships/sharedStrings" Target="/xl/sharedStrings.xml" Id="Rfc3ce396a0be491a" /><Relationship Type="http://schemas.openxmlformats.org/officeDocument/2006/relationships/worksheet" Target="/xl/worksheets/sheet1.xml" Id="R10eac787d0834e22" /><Relationship Type="http://schemas.openxmlformats.org/officeDocument/2006/relationships/worksheet" Target="/xl/worksheets/sheet2.xml" Id="R2350d21806a64ad0" /><Relationship Type="http://schemas.openxmlformats.org/officeDocument/2006/relationships/worksheet" Target="/xl/worksheets/sheet3.xml" Id="Re9f4b2bfed5342be" /><Relationship Type="http://schemas.openxmlformats.org/officeDocument/2006/relationships/worksheet" Target="/xl/worksheets/sheet4.xml" Id="R3ced1fdb15254f9e" /><Relationship Type="http://schemas.openxmlformats.org/officeDocument/2006/relationships/worksheet" Target="/xl/worksheets/sheet5.xml" Id="Rf0a93017f96a4a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eb14eaed3e4181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4"/>
    </mc:Choice>
    <mc:Fallback>
      <c:style val="4"/>
    </mc:Fallback>
  </mc:AlternateContent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</a:ln>
          </c:spPr>
          <c:trendline>
            <c:spPr>
              <a:ln xmlns:a="http://schemas.openxmlformats.org/drawingml/2006/main" w="19050">
                <a:solidFill>
                  <a:srgbClr val="00B050"/>
                </a:solidFill>
              </a:ln>
            </c:spPr>
            <c:trendlineType val="linear"/>
            <c:dispRSqr val="0"/>
            <c:dispEq val="0"/>
          </c:trendline>
          <c:cat>
            <c:strRef>
              <c:f>'Mod.02.PO.06.1_Risk management'!$A$10:$A$11</c:f>
              <c:strCache>
                <c:ptCount val="2"/>
                <c:pt idx="0">
                  <c:v>INDICE MEDIO RISCHIO</c:v>
                </c:pt>
                <c:pt idx="1">
                  <c:v>INDICE MEDIO RISCHIO RESIDUO</c:v>
                </c:pt>
              </c:strCache>
            </c:strRef>
          </c:cat>
          <c:val>
            <c:numRef>
              <c:f>'Mod.02.PO.06.1_Risk management'!$B$10:$B$11</c:f>
              <c:numCache>
                <c:formatCode>0.00</c:formatCode>
                <c:ptCount val="2"/>
                <c:pt idx="0">
                  <c:v>54.37049999999999</c:v>
                </c:pt>
                <c:pt idx="1">
                  <c:v>42.153499999999994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939968304"/>
        <c:axId val="1939964944"/>
      </c:barChart>
      <c:catAx>
        <c:axId val="193996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spcFirstLastPara="1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u="none" cap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39964944"/>
        <c:crosses val="autoZero"/>
        <c:lblOffset val="100"/>
      </c:catAx>
      <c:valAx>
        <c:axId val="193996494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minorGridlines>
          <c:spPr>
            <a:ln xmlns:a="http://schemas.openxmlformats.org/drawingml/2006/main" w="9525" cmpd="sng">
              <a:solidFill>
                <a:schemeClr val="tx1">
                  <a:lumMod val="5000"/>
                  <a:lumOff val="95000"/>
                </a:schemeClr>
              </a:solidFill>
            </a:ln>
          </c:spPr>
        </c:minorGridlines>
        <c:numFmt formatCode="0.0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93996830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28575</xdr:rowOff>
    </xdr:from>
    <xdr:to>
      <xdr:col>2</xdr:col>
      <xdr:colOff>207818</xdr:colOff>
      <xdr:row>21</xdr:row>
      <xdr:rowOff>59121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eb14eaed3e418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3e78c9279c14366" /><Relationship Type="http://schemas.openxmlformats.org/officeDocument/2006/relationships/vmlDrawing" Target="/xl/drawings/vmldrawing.vml" Id="R9ee813a6194340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8b22a39e9b74d9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ColWidth="8.85546875" defaultRowHeight="12.75"/>
  <x:cols>
    <x:col min="1" max="1" width="6.42578125" style="9" customWidth="1"/>
    <x:col min="2" max="2" width="25.140625" style="10" customWidth="1"/>
    <x:col min="3" max="3" width="12.42578125" style="11" customWidth="1"/>
    <x:col min="4" max="4" width="26.140625" style="1" customWidth="1"/>
    <x:col min="5" max="5" width="28.140625" style="1" customWidth="1"/>
    <x:col min="6" max="7" width="14.140625" style="1" customWidth="1"/>
    <x:col min="8" max="8" width="15.42578125" style="1" customWidth="1"/>
    <x:col min="9" max="9" width="14.140625" style="1" customWidth="1"/>
    <x:col min="10" max="11" width="12.42578125" style="62" customWidth="1"/>
    <x:col min="12" max="12" width="12.42578125" style="32" customWidth="1"/>
    <x:col min="13" max="14" width="14.140625" style="1" customWidth="1"/>
    <x:col min="15" max="15" width="16.42578125" style="1" customWidth="1"/>
    <x:col min="16" max="16" width="14.140625" style="1" customWidth="1"/>
    <x:col min="17" max="17" width="12.42578125" style="32" customWidth="1"/>
    <x:col min="18" max="16384" width="8.85546875" style="1" customWidth="0"/>
  </x:cols>
  <x:sheetData>
    <x:row r="1" ht="9" customHeight="1">
      <x:c r="A1" s="11"/>
      <x:c r="B1" s="87"/>
    </x:row>
    <x:row r="2" ht="45.75" customHeight="1">
      <x:c r="A2" s="225" t="str">
        <x:v>VALUTAZIONE DEI RISCHI E DELLE OPPORTUNITÀ</x:v>
      </x:c>
      <x:c r="B2" s="226"/>
      <x:c r="C2" s="226"/>
      <x:c r="D2" s="226"/>
      <x:c r="E2" s="226"/>
      <x:c r="F2" s="226"/>
      <x:c r="G2" s="226"/>
      <x:c r="H2" s="226"/>
      <x:c r="I2" s="226" t="str">
        <x:v>Mod.01.PO.06.1 rev.02 02/10/2026</x:v>
      </x:c>
      <x:c r="J2" s="226"/>
      <x:c r="K2" s="226"/>
      <x:c r="L2" s="226"/>
      <x:c r="M2" s="226"/>
      <x:c r="N2" s="226"/>
      <x:c r="O2" s="226"/>
      <x:c r="P2" s="226"/>
      <x:c r="Q2" s="227"/>
    </x:row>
    <x:row r="3" ht="13.5"/>
    <x:row r="4" s="11" customFormat="1" ht="27">
      <x:c r="A4" s="36" t="s">
        <x:v>0</x:v>
      </x:c>
      <x:c r="B4" s="36" t="s">
        <x:v>1</x:v>
      </x:c>
      <x:c r="C4" s="27" t="s">
        <x:v>2</x:v>
      </x:c>
      <x:c r="D4" s="27" t="s">
        <x:v>3</x:v>
      </x:c>
      <x:c r="E4" s="27" t="str">
        <x:v>CONSEGUENZE / BENEFICI</x:v>
      </x:c>
      <x:c r="F4" s="27" t="s">
        <x:v>4</x:v>
      </x:c>
      <x:c r="G4" s="27" t="str">
        <x:v>Impatto (G)</x:v>
      </x:c>
      <x:c r="H4" s="27" t="s">
        <x:v>5</x:v>
      </x:c>
      <x:c r="I4" s="27" t="s">
        <x:v>6</x:v>
      </x:c>
      <x:c r="J4" s="313" t="s">
        <x:v>7</x:v>
      </x:c>
      <x:c r="K4" s="313" t="s">
        <x:v>8</x:v>
      </x:c>
      <x:c r="L4" s="30" t="s">
        <x:v>9</x:v>
      </x:c>
      <x:c r="M4" s="27" t="s">
        <x:v>4</x:v>
      </x:c>
      <x:c r="N4" s="27" t="s">
        <x:v>10</x:v>
      </x:c>
      <x:c r="O4" s="27" t="s">
        <x:v>5</x:v>
      </x:c>
      <x:c r="P4" s="27" t="s">
        <x:v>6</x:v>
      </x:c>
      <x:c r="Q4" s="30" t="s">
        <x:v>11</x:v>
      </x:c>
    </x:row>
    <x:row r="5" ht="26.25">
      <x:c r="A5" s="222" t="n">
        <x:v>1</x:v>
      </x:c>
      <x:c r="B5" s="211" t="str">
        <x:f>'MOD_01_PO_03_FATTORI RISCHIO'!B6</x:f>
        <x:v>Analisi incompleta dei fabbisogni formativi</x:v>
      </x:c>
      <x:c r="C5" s="211" t="str">
        <x:v>DIR / DID</x:v>
      </x:c>
      <x:c r="D5" s="39" t="str">
        <x:v>Fabbisogni di committenti e destinatari rilevati in modo non sistematico</x:v>
      </x:c>
      <x:c r="E5" s="39" t="str">
        <x:v>Obiettivi formativi non coerenti e ridotta soddisfazione</x:v>
      </x:c>
      <x:c r="F5" s="254" t="n">
        <x:v>4</x:v>
      </x:c>
      <x:c r="G5" s="254" t="n">
        <x:v>8</x:v>
      </x:c>
      <x:c r="H5" s="254" t="n">
        <x:v>4</x:v>
      </x:c>
      <x:c r="I5" s="63" t="n">
        <x:f>IF(COUNT(F5:H5)=3,F5*G5*H5,"")</x:f>
        <x:v>128</x:v>
      </x:c>
      <x:c r="J5" s="291" t="n">
        <x:f>I5</x:f>
        <x:v>128</x:v>
      </x:c>
      <x:c r="K5" s="291" t="n">
        <x:f>IF(ISNUMBER(P5),P5,"")</x:f>
        <x:v>32</x:v>
      </x:c>
      <x:c r="L5" s="89" t="str">
        <x:v>AC 01/26</x:v>
      </x:c>
      <x:c r="M5" s="272" t="n">
        <x:v>2</x:v>
      </x:c>
      <x:c r="N5" s="255" t="n">
        <x:v>8</x:v>
      </x:c>
      <x:c r="O5" s="255" t="n">
        <x:v>2</x:v>
      </x:c>
      <x:c r="P5" s="255" t="n">
        <x:f>IF(COUNT(M5:O5)=3,M5*N5*O5,"")</x:f>
        <x:v>32</x:v>
      </x:c>
      <x:c r="Q5" s="66" t="str">
        <x:v>ATTUATO</x:v>
      </x:c>
    </x:row>
    <x:row r="6" ht="25.5">
      <x:c r="A6" s="223"/>
      <x:c r="B6" s="212"/>
      <x:c r="C6" s="212"/>
      <x:c r="D6" s="13"/>
      <x:c r="E6" s="26"/>
      <x:c r="F6" s="255"/>
      <x:c r="G6" s="255"/>
      <x:c r="H6" s="255"/>
      <x:c r="I6" s="72" t="str">
        <x:f t="shared" ref="I6:I55" si="0">IF(COUNT(F6:H6)=3,F6*G6*H6,"")</x:f>
      </x:c>
      <x:c r="J6" s="292"/>
      <x:c r="K6" s="292"/>
      <x:c r="L6" s="42"/>
      <x:c r="M6" s="273"/>
      <x:c r="N6" s="274"/>
      <x:c r="O6" s="274"/>
      <x:c r="P6" s="274"/>
      <x:c r="Q6" s="228"/>
    </x:row>
    <x:row r="7">
      <x:c r="A7" s="223"/>
      <x:c r="B7" s="212"/>
      <x:c r="C7" s="212"/>
      <x:c r="D7" s="13"/>
      <x:c r="E7" s="13"/>
      <x:c r="F7" s="256"/>
      <x:c r="G7" s="256"/>
      <x:c r="H7" s="256"/>
      <x:c r="I7" s="91" t="str">
        <x:f t="shared" si="0">IF(COUNT(F7:H7)=3,F7*G7*H7,"")</x:f>
      </x:c>
      <x:c r="J7" s="292"/>
      <x:c r="K7" s="292"/>
      <x:c r="L7" s="43"/>
      <x:c r="M7" s="273"/>
      <x:c r="N7" s="274"/>
      <x:c r="O7" s="274"/>
      <x:c r="P7" s="274"/>
      <x:c r="Q7" s="228"/>
    </x:row>
    <x:row r="8" ht="26.25">
      <x:c r="A8" s="223"/>
      <x:c r="B8" s="212"/>
      <x:c r="C8" s="212"/>
      <x:c r="D8" s="26"/>
      <x:c r="E8" s="26"/>
      <x:c r="F8" s="255"/>
      <x:c r="G8" s="255"/>
      <x:c r="H8" s="255"/>
      <x:c r="I8" s="68" t="str">
        <x:f t="shared" si="0">IF(COUNT(F8:H8)=3,F8*G8*H8,"")</x:f>
      </x:c>
      <x:c r="J8" s="292"/>
      <x:c r="K8" s="292"/>
      <x:c r="L8" s="43"/>
      <x:c r="M8" s="273"/>
      <x:c r="N8" s="274"/>
      <x:c r="O8" s="274"/>
      <x:c r="P8" s="274"/>
      <x:c r="Q8" s="228"/>
    </x:row>
    <x:row r="9" ht="15.75">
      <x:c r="A9" s="224"/>
      <x:c r="B9" s="220"/>
      <x:c r="C9" s="220"/>
      <x:c r="D9" s="26"/>
      <x:c r="E9" s="26"/>
      <x:c r="F9" s="256"/>
      <x:c r="G9" s="256"/>
      <x:c r="H9" s="256"/>
      <x:c r="I9" s="91" t="str">
        <x:f t="shared" si="0">IF(COUNT(F9:H9)=3,F9*G9*H9,"")</x:f>
      </x:c>
      <x:c r="J9" s="293"/>
      <x:c r="K9" s="293"/>
      <x:c r="L9" s="89"/>
      <x:c r="M9" s="255"/>
      <x:c r="N9" s="255"/>
      <x:c r="O9" s="255"/>
      <x:c r="P9" s="255"/>
      <x:c r="Q9" s="66"/>
    </x:row>
    <x:row r="10" ht="26.25">
      <x:c r="A10" s="222" t="n">
        <x:v>2</x:v>
      </x:c>
      <x:c r="B10" s="211" t="str">
        <x:f>'MOD_01_PO_03_FATTORI RISCHIO'!B7</x:f>
        <x:v>Progettazione didattica non conforme</x:v>
      </x:c>
      <x:c r="C10" s="211" t="str">
        <x:v>DID</x:v>
      </x:c>
      <x:c r="D10" s="39" t="str">
        <x:v>Requisiti del bando, del cliente o dell’accreditamento non recepiti integralmente</x:v>
      </x:c>
      <x:c r="E10" s="39" t="str">
        <x:v>Corso non approvato, rilavorazioni o contestazioni</x:v>
      </x:c>
      <x:c r="F10" s="254" t="n">
        <x:v>3</x:v>
      </x:c>
      <x:c r="G10" s="254" t="n">
        <x:v>9</x:v>
      </x:c>
      <x:c r="H10" s="254" t="n">
        <x:v>4</x:v>
      </x:c>
      <x:c r="I10" s="63" t="n">
        <x:f t="shared" si="0">IF(COUNT(F10:H10)=3,F10*G10*H10,"")</x:f>
        <x:v>108</x:v>
      </x:c>
      <x:c r="J10" s="291" t="n">
        <x:f>I10</x:f>
        <x:v>108</x:v>
      </x:c>
      <x:c r="K10" s="291" t="n">
        <x:f>IF(ISNUMBER(P10),P10,"")</x:f>
        <x:v>36</x:v>
      </x:c>
      <x:c r="L10" s="89" t="str">
        <x:v>AC 02/26</x:v>
      </x:c>
      <x:c r="M10" s="272" t="n">
        <x:v>2</x:v>
      </x:c>
      <x:c r="N10" s="255" t="n">
        <x:v>9</x:v>
      </x:c>
      <x:c r="O10" s="255" t="n">
        <x:v>2</x:v>
      </x:c>
      <x:c r="P10" s="255" t="n">
        <x:f>IF(COUNT(M10:O10)=3,M10*N10*O10,"")</x:f>
        <x:v>36</x:v>
      </x:c>
      <x:c r="Q10" s="66" t="str">
        <x:v>ATTUATO</x:v>
      </x:c>
    </x:row>
    <x:row r="11">
      <x:c r="A11" s="223"/>
      <x:c r="B11" s="212"/>
      <x:c r="C11" s="212"/>
      <x:c r="D11" s="13"/>
      <x:c r="E11" s="13"/>
      <x:c r="F11" s="255"/>
      <x:c r="G11" s="255"/>
      <x:c r="H11" s="255"/>
      <x:c r="I11" s="72" t="str">
        <x:f t="shared" si="0">IF(COUNT(F11:H11)=3,F11*G11*H11,"")</x:f>
      </x:c>
      <x:c r="J11" s="292"/>
      <x:c r="K11" s="292"/>
      <x:c r="L11" s="43"/>
      <x:c r="M11" s="274"/>
      <x:c r="N11" s="274"/>
      <x:c r="O11" s="274"/>
      <x:c r="P11" s="274"/>
      <x:c r="Q11" s="43"/>
    </x:row>
    <x:row r="12" ht="26.25">
      <x:c r="A12" s="223"/>
      <x:c r="B12" s="212"/>
      <x:c r="C12" s="212"/>
      <x:c r="D12" s="26"/>
      <x:c r="E12" s="26"/>
      <x:c r="F12" s="255"/>
      <x:c r="G12" s="255"/>
      <x:c r="H12" s="255"/>
      <x:c r="I12" s="68" t="str">
        <x:f t="shared" si="0">IF(COUNT(F12:H12)=3,F12*G12*H12,"")</x:f>
      </x:c>
      <x:c r="J12" s="292"/>
      <x:c r="K12" s="292"/>
      <x:c r="L12" s="43"/>
      <x:c r="M12" s="274"/>
      <x:c r="N12" s="274"/>
      <x:c r="O12" s="274"/>
      <x:c r="P12" s="274"/>
      <x:c r="Q12" s="43"/>
    </x:row>
    <x:row r="13" ht="15.75">
      <x:c r="A13" s="224"/>
      <x:c r="B13" s="220"/>
      <x:c r="C13" s="220"/>
      <x:c r="D13" s="44"/>
      <x:c r="E13" s="49"/>
      <x:c r="F13" s="257"/>
      <x:c r="G13" s="257"/>
      <x:c r="H13" s="257"/>
      <x:c r="I13" s="64" t="str">
        <x:f t="shared" si="0">IF(COUNT(F13:H13)=3,F13*G13*H13,"")</x:f>
      </x:c>
      <x:c r="J13" s="293"/>
      <x:c r="K13" s="293"/>
      <x:c r="L13" s="48"/>
      <x:c r="M13" s="272"/>
      <x:c r="N13" s="255"/>
      <x:c r="O13" s="255"/>
      <x:c r="P13" s="255"/>
      <x:c r="Q13" s="67"/>
    </x:row>
    <x:row r="14" ht="15.75">
      <x:c r="A14" s="222" t="n">
        <x:v>3</x:v>
      </x:c>
      <x:c r="B14" s="211" t="str">
        <x:f>'MOD_01_PO_03_FATTORI RISCHIO'!B8</x:f>
        <x:v>Carenza di docenti qualificati</x:v>
      </x:c>
      <x:c r="C14" s="38" t="str">
        <x:v>DID / QUAL</x:v>
      </x:c>
      <x:c r="D14" s="39" t="str">
        <x:v>Verifica incompleta di CV, esperienza e requisiti specifici</x:v>
      </x:c>
      <x:c r="E14" s="39" t="str">
        <x:v>Erogazione non conforme e danno reputazionale</x:v>
      </x:c>
      <x:c r="F14" s="254" t="n">
        <x:v>3</x:v>
      </x:c>
      <x:c r="G14" s="254" t="n">
        <x:v>8</x:v>
      </x:c>
      <x:c r="H14" s="254" t="n">
        <x:v>4</x:v>
      </x:c>
      <x:c r="I14" s="63" t="n">
        <x:f t="shared" si="0">IF(COUNT(F14:H14)=3,F14*G14*H14,"")</x:f>
        <x:v>96</x:v>
      </x:c>
      <x:c r="J14" s="292" t="n">
        <x:f>I14</x:f>
        <x:v>96</x:v>
      </x:c>
      <x:c r="K14" s="292" t="n">
        <x:f>IF(ISNUMBER(P14),P14,"")</x:f>
        <x:v>32</x:v>
      </x:c>
      <x:c r="L14" s="89" t="str">
        <x:v>AC 03/26</x:v>
      </x:c>
      <x:c r="M14" s="272" t="n">
        <x:v>2</x:v>
      </x:c>
      <x:c r="N14" s="255" t="n">
        <x:v>8</x:v>
      </x:c>
      <x:c r="O14" s="255" t="n">
        <x:v>2</x:v>
      </x:c>
      <x:c r="P14" s="305" t="n">
        <x:f>IF(COUNT(M14:O14)=3,M14*N14*O14,"")</x:f>
        <x:v>32</x:v>
      </x:c>
      <x:c r="Q14" s="69" t="str">
        <x:v>ATTUATO</x:v>
      </x:c>
    </x:row>
    <x:row r="15">
      <x:c r="A15" s="223"/>
      <x:c r="B15" s="212"/>
      <x:c r="C15" s="58"/>
      <x:c r="D15" s="13"/>
      <x:c r="E15" s="13"/>
      <x:c r="F15" s="255"/>
      <x:c r="G15" s="255"/>
      <x:c r="H15" s="255"/>
      <x:c r="I15" s="68" t="str">
        <x:f t="shared" si="0">IF(COUNT(F15:H15)=3,F15*G15*H15,"")</x:f>
      </x:c>
      <x:c r="J15" s="292"/>
      <x:c r="K15" s="292"/>
      <x:c r="L15" s="43"/>
      <x:c r="M15" s="274"/>
      <x:c r="N15" s="274"/>
      <x:c r="O15" s="274"/>
      <x:c r="P15" s="274"/>
      <x:c r="Q15" s="43"/>
    </x:row>
    <x:row r="16" ht="13.5">
      <x:c r="A16" s="224"/>
      <x:c r="B16" s="220"/>
      <x:c r="C16" s="58"/>
      <x:c r="D16" s="49"/>
      <x:c r="E16" s="49"/>
      <x:c r="F16" s="257"/>
      <x:c r="G16" s="257"/>
      <x:c r="H16" s="257"/>
      <x:c r="I16" s="64" t="str">
        <x:f t="shared" si="0">IF(COUNT(F16:H16)=3,F16*G16*H16,"")</x:f>
      </x:c>
      <x:c r="J16" s="293"/>
      <x:c r="K16" s="293"/>
      <x:c r="L16" s="48"/>
      <x:c r="M16" s="275"/>
      <x:c r="N16" s="275"/>
      <x:c r="O16" s="275"/>
      <x:c r="P16" s="275"/>
      <x:c r="Q16" s="43"/>
    </x:row>
    <x:row r="17" ht="15.75">
      <x:c r="A17" s="222" t="n">
        <x:v>4</x:v>
      </x:c>
      <x:c r="B17" s="211" t="str">
        <x:f>'MOD_01_PO_03_FATTORI RISCHIO'!B9</x:f>
        <x:v>Indisponibilità improvvisa del docente</x:v>
      </x:c>
      <x:c r="C17" s="211" t="str">
        <x:v>DID</x:v>
      </x:c>
      <x:c r="D17" s="211" t="str">
        <x:v>Assenza di sostituti qualificati o conferme tardive</x:v>
      </x:c>
      <x:c r="E17" s="39" t="str">
        <x:v>Rinvio o annullamento della lezione</x:v>
      </x:c>
      <x:c r="F17" s="254" t="n">
        <x:v>3</x:v>
      </x:c>
      <x:c r="G17" s="254" t="n">
        <x:v>7</x:v>
      </x:c>
      <x:c r="H17" s="254" t="n">
        <x:v>3</x:v>
      </x:c>
      <x:c r="I17" s="63" t="n">
        <x:f t="shared" si="0">IF(COUNT(F17:H17)=3,F17*G17*H17,"")</x:f>
        <x:v>63</x:v>
      </x:c>
      <x:c r="J17" s="291" t="n">
        <x:f>I17</x:f>
        <x:v>63</x:v>
      </x:c>
      <x:c r="K17" s="291" t="n">
        <x:f>IF(ISNUMBER(P17),P17,"")</x:f>
        <x:v>28</x:v>
      </x:c>
      <x:c r="L17" s="42" t="str">
        <x:v>OP 01/26</x:v>
      </x:c>
      <x:c r="M17" s="276" t="n">
        <x:v>2</x:v>
      </x:c>
      <x:c r="N17" s="254" t="n">
        <x:v>7</x:v>
      </x:c>
      <x:c r="O17" s="254" t="n">
        <x:v>2</x:v>
      </x:c>
      <x:c r="P17" s="306" t="n">
        <x:f t="shared" ref="P17:P18" si="1">IF(COUNT(M17:O17)=3,M17*N17*O17,"")</x:f>
        <x:v>28</x:v>
      </x:c>
      <x:c r="Q17" s="70" t="str">
        <x:v>ATTUATO</x:v>
      </x:c>
    </x:row>
    <x:row r="18" ht="15.75">
      <x:c r="A18" s="223"/>
      <x:c r="B18" s="212"/>
      <x:c r="C18" s="212"/>
      <x:c r="D18" s="212"/>
      <x:c r="E18" s="13"/>
      <x:c r="F18" s="255"/>
      <x:c r="G18" s="255"/>
      <x:c r="H18" s="255"/>
      <x:c r="I18" s="68" t="str">
        <x:f t="shared" si="0">IF(COUNT(F18:H18)=3,F18*G18*H18,"")</x:f>
      </x:c>
      <x:c r="J18" s="292"/>
      <x:c r="K18" s="292"/>
      <x:c r="L18" s="43"/>
      <x:c r="M18" s="272"/>
      <x:c r="N18" s="255"/>
      <x:c r="O18" s="255"/>
      <x:c r="P18" s="305" t="str">
        <x:f t="shared" si="1">IF(COUNT(M18:O18)=3,M18*N18*O18,"")</x:f>
      </x:c>
      <x:c r="Q18" s="70"/>
    </x:row>
    <x:row r="19" ht="13.5">
      <x:c r="A19" s="223"/>
      <x:c r="B19" s="212"/>
      <x:c r="C19" s="212"/>
      <x:c r="D19" s="212"/>
      <x:c r="E19" s="13"/>
      <x:c r="F19" s="256"/>
      <x:c r="G19" s="256"/>
      <x:c r="H19" s="256"/>
      <x:c r="I19" s="91" t="str">
        <x:f t="shared" si="0">IF(COUNT(F19:H19)=3,F19*G19*H19,"")</x:f>
      </x:c>
      <x:c r="J19" s="293"/>
      <x:c r="K19" s="293"/>
      <x:c r="L19" s="43"/>
      <x:c r="M19" s="274"/>
      <x:c r="N19" s="274"/>
      <x:c r="O19" s="274"/>
      <x:c r="P19" s="274"/>
      <x:c r="Q19" s="43"/>
    </x:row>
    <x:row r="20" ht="39">
      <x:c r="A20" s="51" t="n">
        <x:v>5</x:v>
      </x:c>
      <x:c r="B20" s="148" t="str">
        <x:f>'MOD_01_PO_03_FATTORI RISCHIO'!B12</x:f>
        <x:v>Verifica incompleta dei requisiti degli iscritti</x:v>
      </x:c>
      <x:c r="C20" s="52" t="str">
        <x:v>SEG / DID</x:v>
      </x:c>
      <x:c r="D20" s="149" t="str">
        <x:v>Documentazione di accesso incompleta o controllata tardivamente</x:v>
      </x:c>
      <x:c r="E20" s="149" t="str">
        <x:v>Partecipanti non ammissibili e possibili decurtazioni</x:v>
      </x:c>
      <x:c r="F20" s="258" t="n">
        <x:v>4</x:v>
      </x:c>
      <x:c r="G20" s="258" t="n">
        <x:v>7</x:v>
      </x:c>
      <x:c r="H20" s="258" t="n">
        <x:v>3</x:v>
      </x:c>
      <x:c r="I20" s="71" t="n">
        <x:f t="shared" si="0">IF(COUNT(F20:H20)=3,F20*G20*H20,"")</x:f>
        <x:v>84</x:v>
      </x:c>
      <x:c r="J20" s="294" t="n">
        <x:f>I20</x:f>
        <x:v>84</x:v>
      </x:c>
      <x:c r="K20" s="294" t="n">
        <x:f>IF(ISNUMBER(P20),P20,"")</x:f>
        <x:v>28</x:v>
      </x:c>
      <x:c r="L20" s="56" t="str">
        <x:v>AC 04/26</x:v>
      </x:c>
      <x:c r="M20" s="277" t="n">
        <x:v>2</x:v>
      </x:c>
      <x:c r="N20" s="277" t="n">
        <x:v>7</x:v>
      </x:c>
      <x:c r="O20" s="277" t="n">
        <x:v>2</x:v>
      </x:c>
      <x:c r="P20" s="277" t="n">
        <x:f>IF(COUNT(M20:O20)=3,M20*N20*O20,"")</x:f>
        <x:v>28</x:v>
      </x:c>
      <x:c r="Q20" s="56" t="str">
        <x:v>ATTUATO</x:v>
      </x:c>
    </x:row>
    <x:row r="21" ht="25.5" customHeight="1">
      <x:c r="A21" s="223" t="n">
        <x:v>6</x:v>
      </x:c>
      <x:c r="B21" s="212" t="str">
        <x:f>'MOD_01_PO_03_FATTORI RISCHIO'!B13</x:f>
        <x:v>Errori nella pianificazione di calendario, aule e risorse</x:v>
      </x:c>
      <x:c r="C21" s="12" t="str">
        <x:v>DID / SEG</x:v>
      </x:c>
      <x:c r="D21" s="13" t="str">
        <x:v>Coordinamento insufficiente tra calendario, docenti, aule e attrezzature</x:v>
      </x:c>
      <x:c r="E21" s="13" t="str">
        <x:v>Sovrapposizioni, ritardi e disservizi ai partecipanti</x:v>
      </x:c>
      <x:c r="F21" s="259" t="n">
        <x:v>3</x:v>
      </x:c>
      <x:c r="G21" s="259" t="n">
        <x:v>9</x:v>
      </x:c>
      <x:c r="H21" s="259" t="n">
        <x:v>4</x:v>
      </x:c>
      <x:c r="I21" s="72" t="n">
        <x:f t="shared" si="0">IF(COUNT(F21:H21)=3,F21*G21*H21,"")</x:f>
        <x:v>108</x:v>
      </x:c>
      <x:c r="J21" s="291" t="n">
        <x:f>I21</x:f>
        <x:v>108</x:v>
      </x:c>
      <x:c r="K21" s="295" t="n">
        <x:f>IF(ISNUMBER(P21),P21,"")</x:f>
        <x:v>36</x:v>
      </x:c>
      <x:c r="L21" s="65" t="str">
        <x:v>AC 05/26</x:v>
      </x:c>
      <x:c r="M21" s="278" t="n">
        <x:v>2</x:v>
      </x:c>
      <x:c r="N21" s="279" t="n">
        <x:v>9</x:v>
      </x:c>
      <x:c r="O21" s="279" t="n">
        <x:v>2</x:v>
      </x:c>
      <x:c r="P21" s="307" t="n">
        <x:f t="shared" ref="P21:P22" si="2">IF(COUNT(M21:O21)=3,M21*N21*O21,"")</x:f>
        <x:v>36</x:v>
      </x:c>
      <x:c r="Q21" s="66" t="str">
        <x:v>ATTUATO</x:v>
      </x:c>
    </x:row>
    <x:row r="22" ht="12.75" customHeight="1">
      <x:c r="A22" s="223"/>
      <x:c r="B22" s="212"/>
      <x:c r="C22" s="58"/>
      <x:c r="D22" s="13"/>
      <x:c r="E22" s="13"/>
      <x:c r="F22" s="255"/>
      <x:c r="G22" s="255"/>
      <x:c r="H22" s="255"/>
      <x:c r="I22" s="68" t="str">
        <x:f t="shared" ref="I22:I24" si="3">IF(COUNT(F22:H22)=3,F22*G22*H22,"")</x:f>
      </x:c>
      <x:c r="J22" s="292"/>
      <x:c r="K22" s="296"/>
      <x:c r="L22" s="65"/>
      <x:c r="M22" s="280"/>
      <x:c r="N22" s="255"/>
      <x:c r="O22" s="255"/>
      <x:c r="P22" s="308" t="str">
        <x:f t="shared" si="2">IF(COUNT(M22:O22)=3,M22*N22*O22,"")</x:f>
      </x:c>
      <x:c r="Q22" s="66"/>
    </x:row>
    <x:row r="23">
      <x:c r="A23" s="223"/>
      <x:c r="B23" s="212"/>
      <x:c r="C23" s="58"/>
      <x:c r="D23" s="13"/>
      <x:c r="E23" s="13"/>
      <x:c r="F23" s="255"/>
      <x:c r="G23" s="255"/>
      <x:c r="H23" s="255"/>
      <x:c r="I23" s="72" t="str">
        <x:f t="shared" si="3">IF(COUNT(F23:H23)=3,F23*G23*H23,"")</x:f>
      </x:c>
      <x:c r="J23" s="292"/>
      <x:c r="K23" s="296"/>
      <x:c r="L23" s="132"/>
      <x:c r="M23" s="273"/>
      <x:c r="N23" s="274"/>
      <x:c r="O23" s="274"/>
      <x:c r="P23" s="309"/>
      <x:c r="Q23" s="43"/>
    </x:row>
    <x:row r="24" ht="26.25">
      <x:c r="A24" s="223"/>
      <x:c r="B24" s="212"/>
      <x:c r="C24" s="58"/>
      <x:c r="D24" s="13"/>
      <x:c r="E24" s="13"/>
      <x:c r="F24" s="255"/>
      <x:c r="G24" s="255"/>
      <x:c r="H24" s="255"/>
      <x:c r="I24" s="68" t="str">
        <x:f t="shared" si="3">IF(COUNT(F24:H24)=3,F24*G24*H24,"")</x:f>
      </x:c>
      <x:c r="J24" s="292"/>
      <x:c r="K24" s="296"/>
      <x:c r="L24" s="132"/>
      <x:c r="M24" s="273"/>
      <x:c r="N24" s="274"/>
      <x:c r="O24" s="274"/>
      <x:c r="P24" s="309"/>
      <x:c r="Q24" s="43"/>
    </x:row>
    <x:row r="25" ht="15.75">
      <x:c r="A25" s="223"/>
      <x:c r="B25" s="212"/>
      <x:c r="C25" s="58"/>
      <x:c r="D25" s="13"/>
      <x:c r="E25" s="13"/>
      <x:c r="F25" s="255"/>
      <x:c r="G25" s="255"/>
      <x:c r="H25" s="255"/>
      <x:c r="I25" s="68" t="str">
        <x:f t="shared" si="0">IF(COUNT(F25:H25)=3,F25*G25*H25,"")</x:f>
      </x:c>
      <x:c r="J25" s="292"/>
      <x:c r="K25" s="296"/>
      <x:c r="L25" s="65"/>
      <x:c r="M25" s="280"/>
      <x:c r="N25" s="255"/>
      <x:c r="O25" s="255"/>
      <x:c r="P25" s="308" t="str">
        <x:f t="shared" ref="P25" si="4">IF(COUNT(M25:O25)=3,M25*N25*O25,"")</x:f>
      </x:c>
      <x:c r="Q25" s="66"/>
    </x:row>
    <x:row r="26">
      <x:c r="A26" s="223"/>
      <x:c r="B26" s="212"/>
      <x:c r="C26" s="58"/>
      <x:c r="D26" s="13"/>
      <x:c r="E26" s="13"/>
      <x:c r="F26" s="255"/>
      <x:c r="G26" s="255"/>
      <x:c r="H26" s="255"/>
      <x:c r="I26" s="68" t="str">
        <x:f t="shared" si="0">IF(COUNT(F26:H26)=3,F26*G26*H26,"")</x:f>
      </x:c>
      <x:c r="J26" s="292"/>
      <x:c r="K26" s="296"/>
      <x:c r="L26" s="132"/>
      <x:c r="M26" s="273"/>
      <x:c r="N26" s="274"/>
      <x:c r="O26" s="274"/>
      <x:c r="P26" s="309"/>
      <x:c r="Q26" s="43"/>
    </x:row>
    <x:row r="27" ht="13.5">
      <x:c r="A27" s="224"/>
      <x:c r="B27" s="220"/>
      <x:c r="C27" s="59"/>
      <x:c r="D27" s="49"/>
      <x:c r="E27" s="49"/>
      <x:c r="F27" s="257"/>
      <x:c r="G27" s="257"/>
      <x:c r="H27" s="257"/>
      <x:c r="I27" s="64" t="str">
        <x:f t="shared" si="0">IF(COUNT(F27:H27)=3,F27*G27*H27,"")</x:f>
      </x:c>
      <x:c r="J27" s="293"/>
      <x:c r="K27" s="297"/>
      <x:c r="L27" s="133"/>
      <x:c r="M27" s="281"/>
      <x:c r="N27" s="275"/>
      <x:c r="O27" s="275"/>
      <x:c r="P27" s="310"/>
      <x:c r="Q27" s="48"/>
    </x:row>
    <x:row r="28" ht="25.5">
      <x:c r="A28" s="222" t="n">
        <x:v>7</x:v>
      </x:c>
      <x:c r="B28" s="211" t="str">
        <x:f>'MOD_01_PO_03_FATTORI RISCHIO'!B14</x:f>
        <x:v>Registri presenze e fascicoli corso incompleti</x:v>
      </x:c>
      <x:c r="C28" s="58" t="str">
        <x:v>DOC / TUT / SEG</x:v>
      </x:c>
      <x:c r="D28" s="57" t="str">
        <x:v>Compilazione o controllo non tempestivo delle evidenze obbligatorie</x:v>
      </x:c>
      <x:c r="E28" s="39" t="str">
        <x:v>Mancata tracciabilità e non riconoscimento delle attività</x:v>
      </x:c>
      <x:c r="F28" s="254" t="n">
        <x:v>2</x:v>
      </x:c>
      <x:c r="G28" s="254" t="n">
        <x:v>8</x:v>
      </x:c>
      <x:c r="H28" s="254" t="n">
        <x:v>4</x:v>
      </x:c>
      <x:c r="I28" s="63" t="n">
        <x:f t="shared" si="0">IF(COUNT(F28:H28)=3,F28*G28*H28,"")</x:f>
        <x:v>64</x:v>
      </x:c>
      <x:c r="J28" s="291" t="n">
        <x:f>I28</x:f>
        <x:v>64</x:v>
      </x:c>
      <x:c r="K28" s="291" t="n">
        <x:f>IF(ISNUMBER(P28),P28,"")</x:f>
        <x:v>16</x:v>
      </x:c>
      <x:c r="L28" s="42" t="str">
        <x:v>AC 06/26</x:v>
      </x:c>
      <x:c r="M28" s="282" t="n">
        <x:v>1</x:v>
      </x:c>
      <x:c r="N28" s="282" t="n">
        <x:v>8</x:v>
      </x:c>
      <x:c r="O28" s="282" t="n">
        <x:v>2</x:v>
      </x:c>
      <x:c r="P28" s="282" t="n">
        <x:f>IF(COUNT(M28:O28)=3,M28*N28*O28,"")</x:f>
        <x:v>16</x:v>
      </x:c>
      <x:c r="Q28" s="42" t="str">
        <x:v>ATTUATO</x:v>
      </x:c>
    </x:row>
    <x:row r="29" ht="25.5">
      <x:c r="A29" s="223"/>
      <x:c r="B29" s="212"/>
      <x:c r="C29" s="58"/>
      <x:c r="D29" s="13"/>
      <x:c r="E29" s="13"/>
      <x:c r="F29" s="255"/>
      <x:c r="G29" s="255"/>
      <x:c r="H29" s="255"/>
      <x:c r="I29" s="68" t="str">
        <x:f t="shared" si="0">IF(COUNT(F29:H29)=3,F29*G29*H29,"")</x:f>
      </x:c>
      <x:c r="J29" s="292"/>
      <x:c r="K29" s="292"/>
      <x:c r="L29" s="43"/>
      <x:c r="M29" s="274"/>
      <x:c r="N29" s="274"/>
      <x:c r="O29" s="274"/>
      <x:c r="P29" s="274"/>
      <x:c r="Q29" s="43"/>
    </x:row>
    <x:row r="30">
      <x:c r="A30" s="223"/>
      <x:c r="B30" s="212"/>
      <x:c r="C30" s="58"/>
      <x:c r="D30" s="13"/>
      <x:c r="E30" s="13"/>
      <x:c r="F30" s="255"/>
      <x:c r="G30" s="255"/>
      <x:c r="H30" s="255"/>
      <x:c r="I30" s="68" t="str">
        <x:f t="shared" si="0">IF(COUNT(F30:H30)=3,F30*G30*H30,"")</x:f>
      </x:c>
      <x:c r="J30" s="292"/>
      <x:c r="K30" s="292"/>
      <x:c r="L30" s="43"/>
      <x:c r="M30" s="274"/>
      <x:c r="N30" s="274"/>
      <x:c r="O30" s="274"/>
      <x:c r="P30" s="274"/>
      <x:c r="Q30" s="43"/>
    </x:row>
    <x:row r="31">
      <x:c r="A31" s="223"/>
      <x:c r="B31" s="212"/>
      <x:c r="C31" s="58"/>
      <x:c r="D31" s="13"/>
      <x:c r="E31" s="13"/>
      <x:c r="F31" s="255"/>
      <x:c r="G31" s="255"/>
      <x:c r="H31" s="255"/>
      <x:c r="I31" s="68" t="str">
        <x:f t="shared" si="0">IF(COUNT(F31:H31)=3,F31*G31*H31,"")</x:f>
      </x:c>
      <x:c r="J31" s="292"/>
      <x:c r="K31" s="292"/>
      <x:c r="L31" s="43"/>
      <x:c r="M31" s="274"/>
      <x:c r="N31" s="274"/>
      <x:c r="O31" s="274"/>
      <x:c r="P31" s="274"/>
      <x:c r="Q31" s="43"/>
    </x:row>
    <x:row r="32" ht="13.5">
      <x:c r="A32" s="224"/>
      <x:c r="B32" s="220"/>
      <x:c r="C32" s="59"/>
      <x:c r="D32" s="49"/>
      <x:c r="E32" s="49"/>
      <x:c r="F32" s="257"/>
      <x:c r="G32" s="257"/>
      <x:c r="H32" s="257"/>
      <x:c r="I32" s="64" t="str">
        <x:f t="shared" si="0">IF(COUNT(F32:H32)=3,F32*G32*H32,"")</x:f>
      </x:c>
      <x:c r="J32" s="293"/>
      <x:c r="K32" s="293"/>
      <x:c r="L32" s="48"/>
      <x:c r="M32" s="274"/>
      <x:c r="N32" s="274"/>
      <x:c r="O32" s="274"/>
      <x:c r="P32" s="274"/>
      <x:c r="Q32" s="48"/>
    </x:row>
    <x:row r="33" ht="26.25">
      <x:c r="A33" s="222" t="n">
        <x:v>8</x:v>
      </x:c>
      <x:c r="B33" s="211" t="str">
        <x:f>'MOD_01_PO_03_FATTORI RISCHIO'!B17</x:f>
        <x:v>Erogazione non coerente con il progetto approvato</x:v>
      </x:c>
      <x:c r="C33" s="60" t="str">
        <x:v>DOC / TUT / DID</x:v>
      </x:c>
      <x:c r="D33" s="57" t="str">
        <x:v>Programma, durata o metodologie modificati senza autorizzazione</x:v>
      </x:c>
      <x:c r="E33" s="57" t="str">
        <x:v>Mancato raggiungimento degli obiettivi e reclami</x:v>
      </x:c>
      <x:c r="F33" s="254" t="n">
        <x:v>3</x:v>
      </x:c>
      <x:c r="G33" s="254" t="n">
        <x:v>8</x:v>
      </x:c>
      <x:c r="H33" s="254" t="n">
        <x:v>4</x:v>
      </x:c>
      <x:c r="I33" s="63" t="n">
        <x:f t="shared" si="0">IF(COUNT(F33:H33)=3,F33*G33*H33,"")</x:f>
        <x:v>96</x:v>
      </x:c>
      <x:c r="J33" s="291" t="n">
        <x:f>I33</x:f>
        <x:v>96</x:v>
      </x:c>
      <x:c r="K33" s="291" t="n">
        <x:f>IF(ISNUMBER(P33),P33,"")</x:f>
        <x:v>32</x:v>
      </x:c>
      <x:c r="L33" s="65" t="str">
        <x:v>AC 07/26</x:v>
      </x:c>
      <x:c r="M33" s="283" t="n">
        <x:v>2</x:v>
      </x:c>
      <x:c r="N33" s="254" t="n">
        <x:v>8</x:v>
      </x:c>
      <x:c r="O33" s="254" t="n">
        <x:v>2</x:v>
      </x:c>
      <x:c r="P33" s="311" t="n">
        <x:f t="shared" ref="P33" si="5">IF(COUNT(M33:O33)=3,M33*N33*O33,"")</x:f>
        <x:v>32</x:v>
      </x:c>
      <x:c r="Q33" s="66" t="str">
        <x:v>ATTUATO</x:v>
      </x:c>
    </x:row>
    <x:row r="34" ht="25.5">
      <x:c r="A34" s="223"/>
      <x:c r="B34" s="212"/>
      <x:c r="C34" s="58"/>
      <x:c r="D34" s="13"/>
      <x:c r="E34" s="13"/>
      <x:c r="F34" s="255"/>
      <x:c r="G34" s="255"/>
      <x:c r="H34" s="255"/>
      <x:c r="I34" s="68" t="str">
        <x:f t="shared" si="0">IF(COUNT(F34:H34)=3,F34*G34*H34,"")</x:f>
      </x:c>
      <x:c r="J34" s="292"/>
      <x:c r="K34" s="292"/>
      <x:c r="L34" s="31"/>
      <x:c r="M34" s="273"/>
      <x:c r="N34" s="274"/>
      <x:c r="O34" s="274"/>
      <x:c r="P34" s="309"/>
      <x:c r="Q34" s="43"/>
    </x:row>
    <x:row r="35" ht="26.25">
      <x:c r="A35" s="223"/>
      <x:c r="B35" s="212"/>
      <x:c r="C35" s="58"/>
      <x:c r="D35" s="13"/>
      <x:c r="E35" s="13"/>
      <x:c r="F35" s="255"/>
      <x:c r="G35" s="255"/>
      <x:c r="H35" s="255"/>
      <x:c r="I35" s="68" t="str">
        <x:f t="shared" si="0">IF(COUNT(F35:H35)=3,F35*G35*H35,"")</x:f>
      </x:c>
      <x:c r="J35" s="292"/>
      <x:c r="K35" s="292"/>
      <x:c r="L35" s="31"/>
      <x:c r="M35" s="273"/>
      <x:c r="N35" s="274"/>
      <x:c r="O35" s="274"/>
      <x:c r="P35" s="309"/>
      <x:c r="Q35" s="43"/>
    </x:row>
    <x:row r="36" ht="26.25">
      <x:c r="A36" s="224"/>
      <x:c r="B36" s="220"/>
      <x:c r="C36" s="59"/>
      <x:c r="D36" s="49"/>
      <x:c r="E36" s="49"/>
      <x:c r="F36" s="257"/>
      <x:c r="G36" s="257"/>
      <x:c r="H36" s="257"/>
      <x:c r="I36" s="64" t="str">
        <x:f t="shared" si="0">IF(COUNT(F36:H36)=3,F36*G36*H36,"")</x:f>
      </x:c>
      <x:c r="J36" s="293"/>
      <x:c r="K36" s="293"/>
      <x:c r="L36" s="65"/>
      <x:c r="M36" s="283"/>
      <x:c r="N36" s="254"/>
      <x:c r="O36" s="254"/>
      <x:c r="P36" s="311" t="str">
        <x:f t="shared" ref="P36:P37" si="6">IF(COUNT(M36:O36)=3,M36*N36*O36,"")</x:f>
      </x:c>
      <x:c r="Q36" s="66"/>
    </x:row>
    <x:row r="37" ht="25.5" customHeight="1">
      <x:c r="A37" s="222" t="n">
        <x:v>9</x:v>
      </x:c>
      <x:c r="B37" s="211" t="str">
        <x:f>'MOD_01_PO_03_FATTORI RISCHIO'!B18</x:f>
        <x:v>Malfunzionamento della piattaforma FAD</x:v>
      </x:c>
      <x:c r="C37" s="60" t="str">
        <x:v>DID / FORN</x:v>
      </x:c>
      <x:c r="D37" s="39" t="str">
        <x:v>Test tecnici, assistenza o capacità della piattaforma insufficienti</x:v>
      </x:c>
      <x:c r="E37" s="39" t="str">
        <x:v>Interruzioni, accessi non tracciati e perdita di ore formative</x:v>
      </x:c>
      <x:c r="F37" s="254" t="n">
        <x:v>4</x:v>
      </x:c>
      <x:c r="G37" s="254" t="n">
        <x:v>7</x:v>
      </x:c>
      <x:c r="H37" s="254" t="n">
        <x:v>4</x:v>
      </x:c>
      <x:c r="I37" s="63" t="n">
        <x:f t="shared" si="0">IF(COUNT(F37:H37)=3,F37*G37*H37,"")</x:f>
        <x:v>112</x:v>
      </x:c>
      <x:c r="J37" s="291" t="n">
        <x:f>I37</x:f>
        <x:v>112</x:v>
      </x:c>
      <x:c r="K37" s="291" t="n">
        <x:f>IF(ISNUMBER(P37),P37,"")</x:f>
        <x:v>28</x:v>
      </x:c>
      <x:c r="L37" s="42" t="str">
        <x:v>OP 02/26</x:v>
      </x:c>
      <x:c r="M37" s="254" t="n">
        <x:v>2</x:v>
      </x:c>
      <x:c r="N37" s="254" t="n">
        <x:v>7</x:v>
      </x:c>
      <x:c r="O37" s="254" t="n">
        <x:v>2</x:v>
      </x:c>
      <x:c r="P37" s="254" t="n">
        <x:f t="shared" si="6">IF(COUNT(M37:O37)=3,M37*N37*O37,"")</x:f>
        <x:v>28</x:v>
      </x:c>
      <x:c r="Q37" s="84" t="str">
        <x:v>ATTUATO</x:v>
      </x:c>
    </x:row>
    <x:row r="38" ht="25.5">
      <x:c r="A38" s="223"/>
      <x:c r="B38" s="212"/>
      <x:c r="C38" s="58"/>
      <x:c r="D38" s="13"/>
      <x:c r="E38" s="13"/>
      <x:c r="F38" s="255"/>
      <x:c r="G38" s="255"/>
      <x:c r="H38" s="255"/>
      <x:c r="I38" s="68" t="str">
        <x:f t="shared" si="0">IF(COUNT(F38:H38)=3,F38*G38*H38,"")</x:f>
      </x:c>
      <x:c r="J38" s="292"/>
      <x:c r="K38" s="292"/>
      <x:c r="L38" s="43"/>
      <x:c r="M38" s="274"/>
      <x:c r="N38" s="274"/>
      <x:c r="O38" s="274"/>
      <x:c r="P38" s="274"/>
      <x:c r="Q38" s="43"/>
    </x:row>
    <x:row r="39" ht="26.25">
      <x:c r="A39" s="224"/>
      <x:c r="B39" s="220"/>
      <x:c r="C39" s="59"/>
      <x:c r="D39" s="49"/>
      <x:c r="E39" s="49"/>
      <x:c r="F39" s="257"/>
      <x:c r="G39" s="257"/>
      <x:c r="H39" s="257"/>
      <x:c r="I39" s="64" t="str">
        <x:f t="shared" si="0">IF(COUNT(F39:H39)=3,F39*G39*H39,"")</x:f>
      </x:c>
      <x:c r="J39" s="293"/>
      <x:c r="K39" s="293"/>
      <x:c r="L39" s="48"/>
      <x:c r="M39" s="275"/>
      <x:c r="N39" s="275"/>
      <x:c r="O39" s="275"/>
      <x:c r="P39" s="275"/>
      <x:c r="Q39" s="48"/>
    </x:row>
    <x:row r="40" ht="25.5">
      <x:c r="A40" s="222" t="n">
        <x:v>10</x:v>
      </x:c>
      <x:c r="B40" s="211" t="str">
        <x:f>'MOD_01_PO_03_FATTORI RISCHIO'!B19</x:f>
        <x:v>Aule o attrezzature non idonee</x:v>
      </x:c>
      <x:c r="C40" s="38" t="str">
        <x:v>DID / SEG / FORN</x:v>
      </x:c>
      <x:c r="D40" s="57" t="str">
        <x:v>Verifica preventiva incompleta di capienza, sicurezza e dotazioni</x:v>
      </x:c>
      <x:c r="E40" s="39" t="str">
        <x:v>Rinvio delle attività o condizioni non conformi</x:v>
      </x:c>
      <x:c r="F40" s="254" t="n">
        <x:v>3</x:v>
      </x:c>
      <x:c r="G40" s="254" t="n">
        <x:v>9</x:v>
      </x:c>
      <x:c r="H40" s="254" t="n">
        <x:v>4</x:v>
      </x:c>
      <x:c r="I40" s="63" t="n">
        <x:f t="shared" si="0">IF(COUNT(F40:H40)=3,F40*G40*H40,"")</x:f>
        <x:v>108</x:v>
      </x:c>
      <x:c r="J40" s="291" t="n">
        <x:f>I40</x:f>
        <x:v>108</x:v>
      </x:c>
      <x:c r="K40" s="291" t="n">
        <x:f>IF(ISNUMBER(P40),P40,"")</x:f>
        <x:v>36</x:v>
      </x:c>
      <x:c r="L40" s="42" t="str">
        <x:v>AC 08/26</x:v>
      </x:c>
      <x:c r="M40" s="282" t="n">
        <x:v>2</x:v>
      </x:c>
      <x:c r="N40" s="282" t="n">
        <x:v>9</x:v>
      </x:c>
      <x:c r="O40" s="282" t="n">
        <x:v>2</x:v>
      </x:c>
      <x:c r="P40" s="282" t="n">
        <x:f>IF(COUNT(M40:O40)=3,M40*N40*O40,"")</x:f>
        <x:v>36</x:v>
      </x:c>
      <x:c r="Q40" s="42" t="str">
        <x:v>ATTUATO</x:v>
      </x:c>
    </x:row>
    <x:row r="41">
      <x:c r="A41" s="223"/>
      <x:c r="B41" s="212"/>
      <x:c r="C41" s="58"/>
      <x:c r="D41" s="13"/>
      <x:c r="E41" s="13"/>
      <x:c r="F41" s="255"/>
      <x:c r="G41" s="255"/>
      <x:c r="H41" s="255"/>
      <x:c r="I41" s="72" t="str">
        <x:f t="shared" si="0">IF(COUNT(F41:H41)=3,F41*G41*H41,"")</x:f>
      </x:c>
      <x:c r="J41" s="292"/>
      <x:c r="K41" s="292"/>
      <x:c r="L41" s="43"/>
      <x:c r="M41" s="274"/>
      <x:c r="N41" s="274"/>
      <x:c r="O41" s="274"/>
      <x:c r="P41" s="274"/>
      <x:c r="Q41" s="43"/>
    </x:row>
    <x:row r="42" ht="26.25">
      <x:c r="A42" s="224"/>
      <x:c r="B42" s="220"/>
      <x:c r="C42" s="59"/>
      <x:c r="D42" s="49"/>
      <x:c r="E42" s="49"/>
      <x:c r="F42" s="257"/>
      <x:c r="G42" s="257"/>
      <x:c r="H42" s="257"/>
      <x:c r="I42" s="64" t="str">
        <x:f t="shared" si="0">IF(COUNT(F42:H42)=3,F42*G42*H42,"")</x:f>
      </x:c>
      <x:c r="J42" s="293"/>
      <x:c r="K42" s="293"/>
      <x:c r="L42" s="48"/>
      <x:c r="M42" s="275"/>
      <x:c r="N42" s="275"/>
      <x:c r="O42" s="275"/>
      <x:c r="P42" s="275"/>
      <x:c r="Q42" s="48"/>
    </x:row>
    <x:row r="43" ht="26.25">
      <x:c r="A43" s="51" t="n">
        <x:v>11</x:v>
      </x:c>
      <x:c r="B43" s="52" t="str">
        <x:f>'MOD_01_PO_03_FATTORI RISCHIO'!B20</x:f>
        <x:v>Valutazione degli apprendimenti non affidabile</x:v>
      </x:c>
      <x:c r="C43" s="52" t="str">
        <x:v>DOC / DID / QUAL</x:v>
      </x:c>
      <x:c r="D43" s="53" t="str">
        <x:v>Prove non coerenti, criteri non definiti o correzione non tracciata</x:v>
      </x:c>
      <x:c r="E43" s="57" t="str">
        <x:v>Attestazioni non supportate da evidenze adeguate</x:v>
      </x:c>
      <x:c r="F43" s="258" t="n">
        <x:v>3</x:v>
      </x:c>
      <x:c r="G43" s="258" t="n">
        <x:v>8</x:v>
      </x:c>
      <x:c r="H43" s="258" t="n">
        <x:v>4</x:v>
      </x:c>
      <x:c r="I43" s="71" t="n">
        <x:f t="shared" si="0">IF(COUNT(F43:H43)=3,F43*G43*H43,"")</x:f>
        <x:v>96</x:v>
      </x:c>
      <x:c r="J43" s="291" t="n">
        <x:f>I43</x:f>
        <x:v>96</x:v>
      </x:c>
      <x:c r="K43" s="291" t="n">
        <x:f>IF(ISNUMBER(P43),P43,"")</x:f>
        <x:v>32</x:v>
      </x:c>
      <x:c r="L43" s="56" t="str">
        <x:v>AC 09/26</x:v>
      </x:c>
      <x:c r="M43" s="277" t="n">
        <x:v>2</x:v>
      </x:c>
      <x:c r="N43" s="277" t="n">
        <x:v>8</x:v>
      </x:c>
      <x:c r="O43" s="277" t="n">
        <x:v>2</x:v>
      </x:c>
      <x:c r="P43" s="277" t="n">
        <x:f>IF(COUNT(M43:O43)=3,M43*N43*O43,"")</x:f>
        <x:v>32</x:v>
      </x:c>
      <x:c r="Q43" s="56" t="str">
        <x:v>ATTUATO</x:v>
      </x:c>
    </x:row>
    <x:row r="44" ht="26.25">
      <x:c r="A44" s="222" t="n">
        <x:v>12</x:v>
      </x:c>
      <x:c r="B44" s="211" t="str">
        <x:f>'MOD_01_PO_03_FATTORI RISCHIO'!B21</x:f>
        <x:v>Reclami e questionari di gradimento non analizzati</x:v>
      </x:c>
      <x:c r="C44" s="60" t="str">
        <x:v>QUAL / DID</x:v>
      </x:c>
      <x:c r="D44" s="39" t="str">
        <x:v>Raccolta priva di analisi periodica e soglie di intervento</x:v>
      </x:c>
      <x:c r="E44" s="57" t="str">
        <x:v>Criticità ricorrenti e perdita di fidelizzazione</x:v>
      </x:c>
      <x:c r="F44" s="254" t="n">
        <x:v>4</x:v>
      </x:c>
      <x:c r="G44" s="254" t="n">
        <x:v>8</x:v>
      </x:c>
      <x:c r="H44" s="254" t="n">
        <x:v>4</x:v>
      </x:c>
      <x:c r="I44" s="63" t="n">
        <x:f t="shared" si="0">IF(COUNT(F44:H44)=3,F44*G44*H44,"")</x:f>
        <x:v>128</x:v>
      </x:c>
      <x:c r="J44" s="292" t="n">
        <x:f>I44</x:f>
        <x:v>128</x:v>
      </x:c>
      <x:c r="K44" s="292" t="n">
        <x:f>IF(ISNUMBER(P44),P44,"")</x:f>
        <x:v>32</x:v>
      </x:c>
      <x:c r="L44" s="130" t="str">
        <x:v>OP 03/26</x:v>
      </x:c>
      <x:c r="M44" s="283" t="n">
        <x:v>2</x:v>
      </x:c>
      <x:c r="N44" s="254" t="n">
        <x:v>8</x:v>
      </x:c>
      <x:c r="O44" s="254" t="n">
        <x:v>2</x:v>
      </x:c>
      <x:c r="P44" s="311" t="n">
        <x:f t="shared" ref="P44" si="7">IF(COUNT(M44:O44)=3,M44*N44*O44,"")</x:f>
        <x:v>32</x:v>
      </x:c>
      <x:c r="Q44" s="66" t="str">
        <x:v>ATTUATO</x:v>
      </x:c>
    </x:row>
    <x:row r="45">
      <x:c r="A45" s="223"/>
      <x:c r="B45" s="212"/>
      <x:c r="C45" s="58"/>
      <x:c r="D45" s="13"/>
      <x:c r="E45" s="13"/>
      <x:c r="F45" s="255"/>
      <x:c r="G45" s="255"/>
      <x:c r="H45" s="255"/>
      <x:c r="I45" s="72" t="str">
        <x:f t="shared" si="0">IF(COUNT(F45:H45)=3,F45*G45*H45,"")</x:f>
      </x:c>
      <x:c r="J45" s="292"/>
      <x:c r="K45" s="292"/>
      <x:c r="L45" s="43"/>
      <x:c r="M45" s="274"/>
      <x:c r="N45" s="274"/>
      <x:c r="O45" s="274"/>
      <x:c r="P45" s="274"/>
      <x:c r="Q45" s="43"/>
    </x:row>
    <x:row r="46">
      <x:c r="A46" s="223"/>
      <x:c r="B46" s="212"/>
      <x:c r="C46" s="58"/>
      <x:c r="D46" s="13"/>
      <x:c r="E46" s="13"/>
      <x:c r="F46" s="255"/>
      <x:c r="G46" s="255"/>
      <x:c r="H46" s="255"/>
      <x:c r="I46" s="68" t="str">
        <x:f t="shared" si="0">IF(COUNT(F46:H46)=3,F46*G46*H46,"")</x:f>
      </x:c>
      <x:c r="J46" s="292"/>
      <x:c r="K46" s="292"/>
      <x:c r="L46" s="43"/>
      <x:c r="M46" s="274"/>
      <x:c r="N46" s="274"/>
      <x:c r="O46" s="274"/>
      <x:c r="P46" s="274"/>
      <x:c r="Q46" s="43"/>
    </x:row>
    <x:row r="47" ht="26.25">
      <x:c r="A47" s="224"/>
      <x:c r="B47" s="220"/>
      <x:c r="C47" s="59"/>
      <x:c r="D47" s="49"/>
      <x:c r="E47" s="49"/>
      <x:c r="F47" s="257"/>
      <x:c r="G47" s="257"/>
      <x:c r="H47" s="257"/>
      <x:c r="I47" s="64" t="str">
        <x:f t="shared" si="0">IF(COUNT(F47:H47)=3,F47*G47*H47,"")</x:f>
      </x:c>
      <x:c r="J47" s="293"/>
      <x:c r="K47" s="293"/>
      <x:c r="L47" s="48"/>
      <x:c r="M47" s="275"/>
      <x:c r="N47" s="275"/>
      <x:c r="O47" s="275"/>
      <x:c r="P47" s="275"/>
      <x:c r="Q47" s="48"/>
    </x:row>
    <x:row r="48" ht="25.5" customHeight="1">
      <x:c r="A48" s="222" t="n">
        <x:v>13</x:v>
      </x:c>
      <x:c r="B48" s="211" t="str">
        <x:f>'MOD_01_PO_03_FATTORI RISCHIO'!B24</x:f>
        <x:v>Indicatori e risultati formativi non monitorati</x:v>
      </x:c>
      <x:c r="C48" s="58" t="str">
        <x:v>QUAL / DIR</x:v>
      </x:c>
      <x:c r="D48" s="39" t="str">
        <x:v>Indicatori, frequenze e responsabilità non definiti chiaramente</x:v>
      </x:c>
      <x:c r="E48" s="39" t="str">
        <x:v>Decisioni tardive e inefficacia del miglioramento</x:v>
      </x:c>
      <x:c r="F48" s="254" t="n">
        <x:v>3</x:v>
      </x:c>
      <x:c r="G48" s="254" t="n">
        <x:v>8</x:v>
      </x:c>
      <x:c r="H48" s="254" t="n">
        <x:v>5</x:v>
      </x:c>
      <x:c r="I48" s="63" t="n">
        <x:f t="shared" si="0">IF(COUNT(F48:H48)=3,F48*G48*H48,"")</x:f>
        <x:v>120</x:v>
      </x:c>
      <x:c r="J48" s="291" t="n">
        <x:f>I48</x:f>
        <x:v>120</x:v>
      </x:c>
      <x:c r="K48" s="291" t="n">
        <x:f>IF(ISNUMBER(P48),P48,"")</x:f>
        <x:v>32</x:v>
      </x:c>
      <x:c r="L48" s="42" t="str">
        <x:v>AC 10/26</x:v>
      </x:c>
      <x:c r="M48" s="282" t="n">
        <x:v>2</x:v>
      </x:c>
      <x:c r="N48" s="282" t="n">
        <x:v>8</x:v>
      </x:c>
      <x:c r="O48" s="282" t="n">
        <x:v>2</x:v>
      </x:c>
      <x:c r="P48" s="282" t="n">
        <x:f>IF(COUNT(M48:O48)=3,M48*N48*O48,"")</x:f>
        <x:v>32</x:v>
      </x:c>
      <x:c r="Q48" s="42" t="str">
        <x:v>IN CORSO</x:v>
      </x:c>
    </x:row>
    <x:row r="49">
      <x:c r="A49" s="223"/>
      <x:c r="B49" s="212"/>
      <x:c r="C49" s="58"/>
      <x:c r="D49" s="13"/>
      <x:c r="E49" s="13"/>
      <x:c r="F49" s="255"/>
      <x:c r="G49" s="255"/>
      <x:c r="H49" s="255"/>
      <x:c r="I49" s="68" t="str">
        <x:f t="shared" si="0">IF(COUNT(F49:H49)=3,F49*G49*H49,"")</x:f>
      </x:c>
      <x:c r="J49" s="292"/>
      <x:c r="K49" s="292"/>
      <x:c r="L49" s="43"/>
      <x:c r="M49" s="274"/>
      <x:c r="N49" s="274"/>
      <x:c r="O49" s="274"/>
      <x:c r="P49" s="274"/>
      <x:c r="Q49" s="43"/>
    </x:row>
    <x:row r="50" ht="13.5">
      <x:c r="A50" s="224"/>
      <x:c r="B50" s="220"/>
      <x:c r="C50" s="59"/>
      <x:c r="D50" s="49"/>
      <x:c r="E50" s="49"/>
      <x:c r="F50" s="257"/>
      <x:c r="G50" s="257"/>
      <x:c r="H50" s="257"/>
      <x:c r="I50" s="64" t="str">
        <x:f t="shared" si="0">IF(COUNT(F50:H50)=3,F50*G50*H50,"")</x:f>
      </x:c>
      <x:c r="J50" s="293"/>
      <x:c r="K50" s="293"/>
      <x:c r="L50" s="48"/>
      <x:c r="M50" s="275"/>
      <x:c r="N50" s="275"/>
      <x:c r="O50" s="275"/>
      <x:c r="P50" s="275"/>
      <x:c r="Q50" s="48"/>
    </x:row>
    <x:row r="51" ht="25.5" customHeight="1">
      <x:c r="A51" s="222" t="n">
        <x:v>14</x:v>
      </x:c>
      <x:c r="B51" s="211" t="str">
        <x:f>'MOD_01_PO_03_FATTORI RISCHIO'!B25</x:f>
        <x:v>Errori nella rendicontazione dei corsi finanziati</x:v>
      </x:c>
      <x:c r="C51" s="60" t="str">
        <x:v>AMM / DID</x:v>
      </x:c>
      <x:c r="D51" s="57" t="str">
        <x:v>Costi, presenze o documenti non riconciliati prima dell’invio</x:v>
      </x:c>
      <x:c r="E51" s="39" t="str">
        <x:v>Decurtazioni, recuperi o ritardi nei pagamenti</x:v>
      </x:c>
      <x:c r="F51" s="254" t="n">
        <x:v>3</x:v>
      </x:c>
      <x:c r="G51" s="254" t="n">
        <x:v>10</x:v>
      </x:c>
      <x:c r="H51" s="254" t="n">
        <x:v>5</x:v>
      </x:c>
      <x:c r="I51" s="63" t="n">
        <x:f t="shared" si="0">IF(COUNT(F51:H51)=3,F51*G51*H51,"")</x:f>
        <x:v>150</x:v>
      </x:c>
      <x:c r="J51" s="291" t="n">
        <x:f>I51</x:f>
        <x:v>150</x:v>
      </x:c>
      <x:c r="K51" s="291" t="str">
        <x:f>IF(ISNUMBER(P51),P51,"")</x:f>
      </x:c>
      <x:c r="L51" s="42" t="str">
        <x:v>AC 11/26</x:v>
      </x:c>
      <x:c r="M51" s="282"/>
      <x:c r="N51" s="282"/>
      <x:c r="O51" s="282"/>
      <x:c r="P51" s="282" t="str">
        <x:f>IF(COUNT(M51:O51)=3,M51*N51*O51,"")</x:f>
      </x:c>
      <x:c r="Q51" s="42" t="str">
        <x:v>IN CORSO</x:v>
      </x:c>
    </x:row>
    <x:row r="52" ht="26.25">
      <x:c r="A52" s="224"/>
      <x:c r="B52" s="220"/>
      <x:c r="C52" s="59"/>
      <x:c r="D52" s="49"/>
      <x:c r="E52" s="44"/>
      <x:c r="F52" s="257"/>
      <x:c r="G52" s="257"/>
      <x:c r="H52" s="257"/>
      <x:c r="I52" s="64" t="str">
        <x:f t="shared" si="0">IF(COUNT(F52:H52)=3,F52*G52*H52,"")</x:f>
      </x:c>
      <x:c r="J52" s="293"/>
      <x:c r="K52" s="293"/>
      <x:c r="L52" s="48"/>
      <x:c r="M52" s="275"/>
      <x:c r="N52" s="275"/>
      <x:c r="O52" s="275"/>
      <x:c r="P52" s="275"/>
      <x:c r="Q52" s="48"/>
    </x:row>
    <x:row r="53" ht="26.25">
      <x:c r="A53" s="222" t="n">
        <x:v>15</x:v>
      </x:c>
      <x:c r="B53" s="211" t="str">
        <x:f>'MOD_01_PO_03_FATTORI RISCHIO'!B28</x:f>
        <x:v>Violazione dei dati personali di partecipanti e docenti</x:v>
      </x:c>
      <x:c r="C53" s="60" t="str">
        <x:v>DIR / QUAL / FORN</x:v>
      </x:c>
      <x:c r="D53" s="39" t="str">
        <x:v>Accessi non profilati, invii errati o conservazione non protetta</x:v>
      </x:c>
      <x:c r="E53" s="39" t="str">
        <x:v>Data breach, sanzioni e danno reputazionale</x:v>
      </x:c>
      <x:c r="F53" s="254" t="n">
        <x:v>3</x:v>
      </x:c>
      <x:c r="G53" s="254" t="n">
        <x:v>10</x:v>
      </x:c>
      <x:c r="H53" s="254" t="n">
        <x:v>5</x:v>
      </x:c>
      <x:c r="I53" s="63" t="n">
        <x:f t="shared" si="0">IF(COUNT(F53:H53)=3,F53*G53*H53,"")</x:f>
        <x:v>150</x:v>
      </x:c>
      <x:c r="J53" s="291" t="n">
        <x:f>I53</x:f>
        <x:v>150</x:v>
      </x:c>
      <x:c r="K53" s="291" t="n">
        <x:f>IF(ISNUMBER(P53),P53,"")</x:f>
        <x:v>20</x:v>
      </x:c>
      <x:c r="L53" s="42" t="str">
        <x:v>AC 12/26</x:v>
      </x:c>
      <x:c r="M53" s="282" t="n">
        <x:v>1</x:v>
      </x:c>
      <x:c r="N53" s="282" t="n">
        <x:v>10</x:v>
      </x:c>
      <x:c r="O53" s="282" t="n">
        <x:v>2</x:v>
      </x:c>
      <x:c r="P53" s="282" t="n">
        <x:f>IF(COUNT(M53:O53)=3,M53*N53*O53,"")</x:f>
        <x:v>20</x:v>
      </x:c>
      <x:c r="Q53" s="42" t="str">
        <x:v>ATTUATO</x:v>
      </x:c>
    </x:row>
    <x:row r="54" ht="25.5" customHeight="1">
      <x:c r="A54" s="223"/>
      <x:c r="B54" s="212"/>
      <x:c r="C54" s="215"/>
      <x:c r="D54" s="213"/>
      <x:c r="E54" s="26"/>
      <x:c r="F54" s="255"/>
      <x:c r="G54" s="255"/>
      <x:c r="H54" s="255"/>
      <x:c r="I54" s="68" t="str">
        <x:f t="shared" si="0">IF(COUNT(F54:H54)=3,F54*G54*H54,"")</x:f>
      </x:c>
      <x:c r="J54" s="292"/>
      <x:c r="K54" s="292"/>
      <x:c r="L54" s="65"/>
      <x:c r="M54" s="283"/>
      <x:c r="N54" s="254"/>
      <x:c r="O54" s="254"/>
      <x:c r="P54" s="311" t="str">
        <x:f t="shared" ref="P54" si="8">IF(COUNT(M54:O54)=3,M54*N54*O54,"")</x:f>
      </x:c>
      <x:c r="Q54" s="66"/>
    </x:row>
    <x:row r="55" ht="13.5">
      <x:c r="A55" s="223"/>
      <x:c r="B55" s="212"/>
      <x:c r="C55" s="215"/>
      <x:c r="D55" s="213"/>
      <x:c r="E55" s="13"/>
      <x:c r="F55" s="255"/>
      <x:c r="G55" s="255"/>
      <x:c r="H55" s="255"/>
      <x:c r="I55" s="68" t="str">
        <x:f t="shared" si="0">IF(COUNT(F55:H55)=3,F55*G55*H55,"")</x:f>
      </x:c>
      <x:c r="J55" s="292"/>
      <x:c r="K55" s="292"/>
      <x:c r="L55" s="43"/>
      <x:c r="M55" s="274"/>
      <x:c r="N55" s="274"/>
      <x:c r="O55" s="274"/>
      <x:c r="P55" s="274"/>
      <x:c r="Q55" s="43"/>
    </x:row>
    <x:row r="56" ht="15.75">
      <x:c r="A56" s="224"/>
      <x:c r="B56" s="220"/>
      <x:c r="C56" s="216"/>
      <x:c r="D56" s="214"/>
      <x:c r="E56" s="49"/>
      <x:c r="F56" s="257"/>
      <x:c r="G56" s="257"/>
      <x:c r="H56" s="257"/>
      <x:c r="I56" s="64" t="str">
        <x:f t="shared" ref="I56:I71" si="9">IF(COUNT(F56:H56)=3,F56*G56*H56,"")</x:f>
      </x:c>
      <x:c r="J56" s="293"/>
      <x:c r="K56" s="293"/>
      <x:c r="L56" s="65"/>
      <x:c r="M56" s="283"/>
      <x:c r="N56" s="254"/>
      <x:c r="O56" s="254"/>
      <x:c r="P56" s="311" t="str">
        <x:f t="shared" ref="P56:P57" si="10">IF(COUNT(M56:O56)=3,M56*N56*O56,"")</x:f>
      </x:c>
      <x:c r="Q56" s="66"/>
    </x:row>
    <x:row r="57" ht="25.5" customHeight="1">
      <x:c r="A57" s="222" t="n">
        <x:v>16</x:v>
      </x:c>
      <x:c r="B57" s="211" t="str">
        <x:f>'MOD_01_PO_03_FATTORI RISCHIO'!B29</x:f>
        <x:v>Fornitori esterni non adeguatamente qualificati</x:v>
      </x:c>
      <x:c r="C57" s="221" t="str">
        <x:v>DID / AMM / QUAL</x:v>
      </x:c>
      <x:c r="D57" s="211" t="str">
        <x:v>Valutazione iniziale e periodica incompleta di sedi, piattaforme e servizi</x:v>
      </x:c>
      <x:c r="E57" s="39" t="str">
        <x:v>Disservizi e mancato rispetto dei requisiti contrattuali</x:v>
      </x:c>
      <x:c r="F57" s="254" t="n">
        <x:v>2</x:v>
      </x:c>
      <x:c r="G57" s="254" t="n">
        <x:v>8</x:v>
      </x:c>
      <x:c r="H57" s="254" t="n">
        <x:v>4</x:v>
      </x:c>
      <x:c r="I57" s="63" t="n">
        <x:f t="shared" si="9">IF(COUNT(F57:H57)=3,F57*G57*H57,"")</x:f>
        <x:v>64</x:v>
      </x:c>
      <x:c r="J57" s="291" t="n">
        <x:f>I57</x:f>
        <x:v>64</x:v>
      </x:c>
      <x:c r="K57" s="291" t="n">
        <x:f>IF(ISNUMBER(P57),P57,"")</x:f>
        <x:v>16</x:v>
      </x:c>
      <x:c r="L57" s="65" t="str">
        <x:v>OP 04/26</x:v>
      </x:c>
      <x:c r="M57" s="254" t="n">
        <x:v>1</x:v>
      </x:c>
      <x:c r="N57" s="254" t="n">
        <x:v>8</x:v>
      </x:c>
      <x:c r="O57" s="254" t="n">
        <x:v>2</x:v>
      </x:c>
      <x:c r="P57" s="254" t="n">
        <x:f t="shared" si="10">IF(COUNT(M57:O57)=3,M57*N57*O57,"")</x:f>
        <x:v>16</x:v>
      </x:c>
      <x:c r="Q57" s="66" t="str">
        <x:v>ATTUATO</x:v>
      </x:c>
    </x:row>
    <x:row r="58">
      <x:c r="A58" s="223"/>
      <x:c r="B58" s="212"/>
      <x:c r="C58" s="215"/>
      <x:c r="D58" s="212"/>
      <x:c r="E58" s="13"/>
      <x:c r="F58" s="255"/>
      <x:c r="G58" s="255"/>
      <x:c r="H58" s="255"/>
      <x:c r="I58" s="68" t="str">
        <x:f t="shared" si="9">IF(COUNT(F58:H58)=3,F58*G58*H58,"")</x:f>
      </x:c>
      <x:c r="J58" s="292"/>
      <x:c r="K58" s="292"/>
      <x:c r="L58" s="43"/>
      <x:c r="M58" s="274"/>
      <x:c r="N58" s="274"/>
      <x:c r="O58" s="274"/>
      <x:c r="P58" s="274"/>
      <x:c r="Q58" s="43"/>
    </x:row>
    <x:row r="59">
      <x:c r="A59" s="223"/>
      <x:c r="B59" s="212"/>
      <x:c r="C59" s="215"/>
      <x:c r="D59" s="212"/>
      <x:c r="E59" s="13"/>
      <x:c r="F59" s="255"/>
      <x:c r="G59" s="255"/>
      <x:c r="H59" s="255"/>
      <x:c r="I59" s="68" t="str">
        <x:f t="shared" si="9">IF(COUNT(F59:H59)=3,F59*G59*H59,"")</x:f>
      </x:c>
      <x:c r="J59" s="292"/>
      <x:c r="K59" s="292"/>
      <x:c r="L59" s="43"/>
      <x:c r="M59" s="274"/>
      <x:c r="N59" s="274"/>
      <x:c r="O59" s="274"/>
      <x:c r="P59" s="274"/>
      <x:c r="Q59" s="43"/>
    </x:row>
    <x:row r="60" ht="13.5">
      <x:c r="A60" s="224"/>
      <x:c r="B60" s="220"/>
      <x:c r="C60" s="216"/>
      <x:c r="D60" s="220"/>
      <x:c r="E60" s="49"/>
      <x:c r="F60" s="257"/>
      <x:c r="G60" s="257"/>
      <x:c r="H60" s="257"/>
      <x:c r="I60" s="64" t="str">
        <x:f t="shared" si="9">IF(COUNT(F60:H60)=3,F60*G60*H60,"")</x:f>
      </x:c>
      <x:c r="J60" s="293"/>
      <x:c r="K60" s="293"/>
      <x:c r="L60" s="48"/>
      <x:c r="M60" s="275"/>
      <x:c r="N60" s="275"/>
      <x:c r="O60" s="275"/>
      <x:c r="P60" s="275"/>
      <x:c r="Q60" s="48"/>
    </x:row>
    <x:row r="61" ht="26.25">
      <x:c r="A61" s="222" t="n">
        <x:v>17</x:v>
      </x:c>
      <x:c r="B61" s="211" t="str">
        <x:f>'MOD_01_PO_03_FATTORI RISCHIO'!B32</x:f>
        <x:v>Documenti SGQ e modulistica non aggiornati</x:v>
      </x:c>
      <x:c r="C61" s="211" t="str">
        <x:v>QUAL</x:v>
      </x:c>
      <x:c r="D61" s="57" t="str">
        <x:v>Revisioni non distribuite o copie obsolete ancora utilizzate</x:v>
      </x:c>
      <x:c r="E61" s="57" t="str">
        <x:v>Registrazioni incoerenti e non conformità in audit</x:v>
      </x:c>
      <x:c r="F61" s="254" t="n">
        <x:v>3</x:v>
      </x:c>
      <x:c r="G61" s="254" t="n">
        <x:v>8</x:v>
      </x:c>
      <x:c r="H61" s="254" t="n">
        <x:v>4</x:v>
      </x:c>
      <x:c r="I61" s="63" t="n">
        <x:f t="shared" si="9">IF(COUNT(F61:H61)=3,F61*G61*H61,"")</x:f>
        <x:v>96</x:v>
      </x:c>
      <x:c r="J61" s="291" t="n">
        <x:f>I61</x:f>
        <x:v>96</x:v>
      </x:c>
      <x:c r="K61" s="291" t="n">
        <x:f>IF(ISNUMBER(P61),P61,"")</x:f>
        <x:v>32</x:v>
      </x:c>
      <x:c r="L61" s="42" t="str">
        <x:v>AC 13/26</x:v>
      </x:c>
      <x:c r="M61" s="254" t="n">
        <x:v>2</x:v>
      </x:c>
      <x:c r="N61" s="254" t="n">
        <x:v>8</x:v>
      </x:c>
      <x:c r="O61" s="254" t="n">
        <x:v>2</x:v>
      </x:c>
      <x:c r="P61" s="254" t="n">
        <x:f t="shared" ref="P61" si="11">IF(COUNT(M61:O61)=3,M61*N61*O61,"")</x:f>
        <x:v>32</x:v>
      </x:c>
      <x:c r="Q61" s="84" t="str">
        <x:v>ATTUATO</x:v>
      </x:c>
    </x:row>
    <x:row r="62" ht="51.75">
      <x:c r="A62" s="224"/>
      <x:c r="B62" s="220"/>
      <x:c r="C62" s="220"/>
      <x:c r="D62" s="44"/>
      <x:c r="E62" s="49"/>
      <x:c r="F62" s="257"/>
      <x:c r="G62" s="257"/>
      <x:c r="H62" s="257"/>
      <x:c r="I62" s="64" t="str">
        <x:f t="shared" si="9">IF(COUNT(F62:H62)=3,F62*G62*H62,"")</x:f>
      </x:c>
      <x:c r="J62" s="293"/>
      <x:c r="K62" s="293"/>
      <x:c r="L62" s="48"/>
      <x:c r="M62" s="275"/>
      <x:c r="N62" s="275"/>
      <x:c r="O62" s="275"/>
      <x:c r="P62" s="275"/>
      <x:c r="Q62" s="48"/>
    </x:row>
    <x:row r="63" ht="38.25">
      <x:c r="A63" s="222" t="n">
        <x:v>18</x:v>
      </x:c>
      <x:c r="B63" s="211" t="str">
        <x:f>'MOD_01_PO_03_FATTORI RISCHIO'!B35</x:f>
        <x:v>Mancato aggiornamento normativo e di accreditamento</x:v>
      </x:c>
      <x:c r="C63" s="38" t="str">
        <x:v>DIR / QUAL</x:v>
      </x:c>
      <x:c r="D63" s="39" t="str">
        <x:v>Presidio non formalizzato delle fonti normative e regionali</x:v>
      </x:c>
      <x:c r="E63" s="57" t="str">
        <x:v>Perdita o sospensione dei requisiti di accreditamento</x:v>
      </x:c>
      <x:c r="F63" s="254" t="n">
        <x:v>2</x:v>
      </x:c>
      <x:c r="G63" s="254" t="n">
        <x:v>10</x:v>
      </x:c>
      <x:c r="H63" s="254" t="n">
        <x:v>5</x:v>
      </x:c>
      <x:c r="I63" s="63" t="n">
        <x:f t="shared" si="9">IF(COUNT(F63:H63)=3,F63*G63*H63,"")</x:f>
        <x:v>100</x:v>
      </x:c>
      <x:c r="J63" s="291" t="n">
        <x:f>I63</x:f>
        <x:v>100</x:v>
      </x:c>
      <x:c r="K63" s="291" t="str">
        <x:f>IF(ISNUMBER(P63),P63,"")</x:f>
      </x:c>
      <x:c r="L63" s="42" t="str">
        <x:v>OP 05/26</x:v>
      </x:c>
      <x:c r="M63" s="282"/>
      <x:c r="N63" s="282"/>
      <x:c r="O63" s="282"/>
      <x:c r="P63" s="282" t="str">
        <x:f>IF(COUNT(M63:O63)=3,M63*N63*O63,"")</x:f>
      </x:c>
      <x:c r="Q63" s="42" t="str">
        <x:v>IN CORSO</x:v>
      </x:c>
    </x:row>
    <x:row r="64" ht="25.5" customHeight="1">
      <x:c r="A64" s="223"/>
      <x:c r="B64" s="212"/>
      <x:c r="C64" s="215"/>
      <x:c r="D64" s="213"/>
      <x:c r="E64" s="26"/>
      <x:c r="F64" s="255"/>
      <x:c r="G64" s="255"/>
      <x:c r="H64" s="255"/>
      <x:c r="I64" s="68" t="str">
        <x:f t="shared" si="9">IF(COUNT(F64:H64)=3,F64*G64*H64,"")</x:f>
      </x:c>
      <x:c r="J64" s="292"/>
      <x:c r="K64" s="292"/>
      <x:c r="L64" s="43"/>
      <x:c r="M64" s="274"/>
      <x:c r="N64" s="274"/>
      <x:c r="O64" s="274"/>
      <x:c r="P64" s="274"/>
      <x:c r="Q64" s="43"/>
    </x:row>
    <x:row r="65" ht="13.5">
      <x:c r="A65" s="223"/>
      <x:c r="B65" s="212"/>
      <x:c r="C65" s="212"/>
      <x:c r="D65" s="213"/>
      <x:c r="E65" s="26"/>
      <x:c r="F65" s="255"/>
      <x:c r="G65" s="255"/>
      <x:c r="H65" s="255"/>
      <x:c r="I65" s="68" t="str">
        <x:f t="shared" si="9">IF(COUNT(F65:H65)=3,F65*G65*H65,"")</x:f>
      </x:c>
      <x:c r="J65" s="292"/>
      <x:c r="K65" s="292"/>
      <x:c r="L65" s="43"/>
      <x:c r="M65" s="274"/>
      <x:c r="N65" s="274"/>
      <x:c r="O65" s="274"/>
      <x:c r="P65" s="274"/>
      <x:c r="Q65" s="43"/>
    </x:row>
    <x:row r="66" ht="15.75">
      <x:c r="A66" s="224"/>
      <x:c r="B66" s="220"/>
      <x:c r="C66" s="220"/>
      <x:c r="D66" s="214"/>
      <x:c r="E66" s="44"/>
      <x:c r="F66" s="257"/>
      <x:c r="G66" s="257"/>
      <x:c r="H66" s="257"/>
      <x:c r="I66" s="64" t="str">
        <x:f t="shared" si="9">IF(COUNT(F66:H66)=3,F66*G66*H66,"")</x:f>
      </x:c>
      <x:c r="J66" s="293"/>
      <x:c r="K66" s="293"/>
      <x:c r="L66" s="130"/>
      <x:c r="M66" s="283"/>
      <x:c r="N66" s="254"/>
      <x:c r="O66" s="254"/>
      <x:c r="P66" s="311" t="str">
        <x:f t="shared" ref="P66" si="12">IF(COUNT(M66:O66)=3,M66*N66*O66,"")</x:f>
      </x:c>
      <x:c r="Q66" s="66"/>
    </x:row>
    <x:row r="67" ht="26.25">
      <x:c r="A67" s="222" t="n">
        <x:v>19</x:v>
      </x:c>
      <x:c r="B67" s="211" t="str">
        <x:f>'MOD_01_PO_03_FATTORI RISCHIO'!B36</x:f>
        <x:v>Sovraccarico o competenze insufficienti del personale interno</x:v>
      </x:c>
      <x:c r="C67" s="211" t="str">
        <x:v>DIR / QUAL</x:v>
      </x:c>
      <x:c r="D67" s="39" t="str">
        <x:v>Carichi di lavoro e fabbisogni di competenza non riesaminati</x:v>
      </x:c>
      <x:c r="E67" s="39" t="str">
        <x:v>Errori, ritardi e discontinuità operativa</x:v>
      </x:c>
      <x:c r="F67" s="254" t="n">
        <x:v>4</x:v>
      </x:c>
      <x:c r="G67" s="254" t="n">
        <x:v>8</x:v>
      </x:c>
      <x:c r="H67" s="254" t="n">
        <x:v>4</x:v>
      </x:c>
      <x:c r="I67" s="63" t="n">
        <x:f t="shared" si="9">IF(COUNT(F67:H67)=3,F67*G67*H67,"")</x:f>
        <x:v>128</x:v>
      </x:c>
      <x:c r="J67" s="291" t="n">
        <x:f>I67</x:f>
        <x:v>128</x:v>
      </x:c>
      <x:c r="K67" s="291" t="n">
        <x:f>IF(ISNUMBER(P67),P67,"")</x:f>
        <x:v>32</x:v>
      </x:c>
      <x:c r="L67" s="65" t="str">
        <x:v>OP 06/26</x:v>
      </x:c>
      <x:c r="M67" s="283" t="n">
        <x:v>2</x:v>
      </x:c>
      <x:c r="N67" s="254" t="n">
        <x:v>8</x:v>
      </x:c>
      <x:c r="O67" s="254" t="n">
        <x:v>2</x:v>
      </x:c>
      <x:c r="P67" s="311" t="n">
        <x:f t="shared" ref="P67:P69" si="13">IF(COUNT(M67:O67)=3,M67*N67*O67,"")</x:f>
        <x:v>32</x:v>
      </x:c>
      <x:c r="Q67" s="66" t="str">
        <x:v>ATTUATO</x:v>
      </x:c>
    </x:row>
    <x:row r="68" ht="15.75">
      <x:c r="A68" s="223"/>
      <x:c r="B68" s="212"/>
      <x:c r="C68" s="212"/>
      <x:c r="D68" s="13"/>
      <x:c r="E68" s="26"/>
      <x:c r="F68" s="255"/>
      <x:c r="G68" s="255"/>
      <x:c r="H68" s="255"/>
      <x:c r="I68" s="68" t="str">
        <x:f t="shared" si="9">IF(COUNT(F68:H68)=3,F68*G68*H68,"")</x:f>
      </x:c>
      <x:c r="J68" s="292"/>
      <x:c r="K68" s="292"/>
      <x:c r="L68" s="65"/>
      <x:c r="M68" s="283"/>
      <x:c r="N68" s="254"/>
      <x:c r="O68" s="254"/>
      <x:c r="P68" s="311" t="str">
        <x:f t="shared" si="13">IF(COUNT(M68:O68)=3,M68*N68*O68,"")</x:f>
      </x:c>
      <x:c r="Q68" s="147"/>
    </x:row>
    <x:row r="69" ht="15.75">
      <x:c r="A69" s="223"/>
      <x:c r="B69" s="212"/>
      <x:c r="C69" s="212"/>
      <x:c r="D69" s="13"/>
      <x:c r="E69" s="13"/>
      <x:c r="F69" s="255"/>
      <x:c r="G69" s="255"/>
      <x:c r="H69" s="255"/>
      <x:c r="I69" s="68" t="str">
        <x:f t="shared" si="9">IF(COUNT(F69:H69)=3,F69*G69*H69,"")</x:f>
      </x:c>
      <x:c r="J69" s="292"/>
      <x:c r="K69" s="292"/>
      <x:c r="L69" s="65"/>
      <x:c r="M69" s="283"/>
      <x:c r="N69" s="254"/>
      <x:c r="O69" s="254"/>
      <x:c r="P69" s="311" t="str">
        <x:f t="shared" si="13">IF(COUNT(M69:O69)=3,M69*N69*O69,"")</x:f>
      </x:c>
      <x:c r="Q69" s="147"/>
    </x:row>
    <x:row r="70" ht="13.5">
      <x:c r="A70" s="224"/>
      <x:c r="B70" s="220"/>
      <x:c r="C70" s="220"/>
      <x:c r="D70" s="49"/>
      <x:c r="E70" s="49"/>
      <x:c r="F70" s="257"/>
      <x:c r="G70" s="257"/>
      <x:c r="H70" s="257"/>
      <x:c r="I70" s="64" t="str">
        <x:f t="shared" si="9">IF(COUNT(F70:H70)=3,F70*G70*H70,"")</x:f>
      </x:c>
      <x:c r="J70" s="293"/>
      <x:c r="K70" s="293"/>
      <x:c r="L70" s="48"/>
      <x:c r="M70" s="275"/>
      <x:c r="N70" s="275"/>
      <x:c r="O70" s="275"/>
      <x:c r="P70" s="275"/>
      <x:c r="Q70" s="48"/>
    </x:row>
    <x:row r="71" ht="26.25">
      <x:c r="A71" s="51" t="n">
        <x:v>20</x:v>
      </x:c>
      <x:c r="B71" s="52" t="str">
        <x:f>'MOD_01_PO_03_FATTORI RISCHIO'!B37</x:f>
        <x:v>Interruzione delle attività formative per emergenze</x:v>
      </x:c>
      <x:c r="C71" s="52" t="str">
        <x:v>DIR / DID</x:v>
      </x:c>
      <x:c r="D71" s="53" t="str">
        <x:v>Piani alternativi per sedi, docenti, piattaforme e comunicazioni non testati</x:v>
      </x:c>
      <x:c r="E71" s="53" t="str">
        <x:v>Annullamento dei corsi e mancato rispetto degli impegni</x:v>
      </x:c>
      <x:c r="F71" s="258" t="n">
        <x:v>2</x:v>
      </x:c>
      <x:c r="G71" s="258" t="n">
        <x:v>9</x:v>
      </x:c>
      <x:c r="H71" s="258" t="n">
        <x:v>5</x:v>
      </x:c>
      <x:c r="I71" s="71" t="n">
        <x:f t="shared" si="9">IF(COUNT(F71:H71)=3,F71*G71*H71,"")</x:f>
        <x:v>90</x:v>
      </x:c>
      <x:c r="J71" s="294" t="n">
        <x:f>I71</x:f>
        <x:v>90</x:v>
      </x:c>
      <x:c r="K71" s="294" t="str">
        <x:f>IF(ISNUMBER(P71),P71,"")</x:f>
      </x:c>
      <x:c r="L71" s="65" t="str">
        <x:v>OP 07/26</x:v>
      </x:c>
      <x:c r="M71" s="283"/>
      <x:c r="N71" s="254"/>
      <x:c r="O71" s="254"/>
      <x:c r="P71" s="311" t="str">
        <x:f t="shared" ref="P71" si="14">IF(COUNT(M71:O71)=3,M71*N71*O71,"")</x:f>
      </x:c>
      <x:c r="Q71" s="66" t="str">
        <x:v>IN PROGRAMMA</x:v>
      </x:c>
    </x:row>
    <x:row r="72">
      <x:c r="A72" s="141"/>
      <x:c r="B72" s="141"/>
      <x:c r="C72" s="141"/>
      <x:c r="D72" s="141"/>
      <x:c r="E72" s="141"/>
      <x:c r="F72" s="141"/>
      <x:c r="G72" s="141"/>
      <x:c r="H72" s="141"/>
      <x:c r="I72" s="141"/>
      <x:c r="J72" s="142"/>
      <x:c r="K72" s="142"/>
      <x:c r="L72" s="143"/>
      <x:c r="M72" s="141"/>
      <x:c r="N72" s="141"/>
      <x:c r="O72" s="141"/>
      <x:c r="P72" s="141"/>
      <x:c r="Q72" s="143"/>
    </x:row>
    <x:row r="73">
      <x:c r="A73" s="141"/>
      <x:c r="B73" s="141"/>
      <x:c r="C73" s="141"/>
      <x:c r="D73" s="141"/>
      <x:c r="E73" s="141"/>
      <x:c r="F73" s="141"/>
      <x:c r="G73" s="141"/>
      <x:c r="H73" s="141"/>
      <x:c r="I73" s="141"/>
      <x:c r="J73" s="142"/>
      <x:c r="K73" s="142"/>
      <x:c r="L73" s="143"/>
      <x:c r="M73" s="141"/>
      <x:c r="N73" s="141"/>
      <x:c r="O73" s="141"/>
      <x:c r="P73" s="141"/>
      <x:c r="Q73" s="143"/>
    </x:row>
    <x:row r="74">
      <x:c r="A74" s="164" t="s">
        <x:v>12</x:v>
      </x:c>
      <x:c r="B74" s="165"/>
      <x:c r="C74" s="165"/>
      <x:c r="D74" s="165"/>
      <x:c r="E74" s="165"/>
      <x:c r="F74" s="166"/>
      <x:c r="G74" s="164" t="s">
        <x:v>13</x:v>
      </x:c>
      <x:c r="H74" s="166"/>
      <x:c r="I74" s="164" t="s">
        <x:v>14</x:v>
      </x:c>
      <x:c r="J74" s="165"/>
      <x:c r="K74" s="165"/>
      <x:c r="L74" s="166"/>
      <x:c r="M74" s="141"/>
      <x:c r="N74" s="141"/>
      <x:c r="O74" s="141"/>
      <x:c r="P74" s="141"/>
      <x:c r="Q74" s="143"/>
    </x:row>
    <x:row r="75">
      <x:c r="A75" s="153" t="s">
        <x:v>15</x:v>
      </x:c>
      <x:c r="B75" s="154"/>
      <x:c r="C75" s="154"/>
      <x:c r="D75" s="154"/>
      <x:c r="E75" s="154"/>
      <x:c r="F75" s="155"/>
      <x:c r="G75" s="153" t="s">
        <x:v>16</x:v>
      </x:c>
      <x:c r="H75" s="155"/>
      <x:c r="I75" s="153" t="s">
        <x:v>17</x:v>
      </x:c>
      <x:c r="J75" s="154"/>
      <x:c r="K75" s="154"/>
      <x:c r="L75" s="155"/>
      <x:c r="M75" s="141"/>
      <x:c r="N75" s="141"/>
      <x:c r="O75" s="141"/>
      <x:c r="P75" s="141"/>
      <x:c r="Q75" s="143"/>
    </x:row>
    <x:row r="76">
      <x:c r="A76" s="153" t="s">
        <x:v>18</x:v>
      </x:c>
      <x:c r="B76" s="154"/>
      <x:c r="C76" s="154"/>
      <x:c r="D76" s="154"/>
      <x:c r="E76" s="154"/>
      <x:c r="F76" s="155"/>
      <x:c r="G76" s="153" t="s">
        <x:v>19</x:v>
      </x:c>
      <x:c r="H76" s="155"/>
      <x:c r="I76" s="153" t="s">
        <x:v>20</x:v>
      </x:c>
      <x:c r="J76" s="154"/>
      <x:c r="K76" s="154"/>
      <x:c r="L76" s="155"/>
      <x:c r="M76" s="141"/>
      <x:c r="N76" s="141"/>
      <x:c r="O76" s="141"/>
      <x:c r="P76" s="141"/>
      <x:c r="Q76" s="143"/>
    </x:row>
    <x:row r="77">
      <x:c r="A77" s="153" t="s">
        <x:v>21</x:v>
      </x:c>
      <x:c r="B77" s="154"/>
      <x:c r="C77" s="154"/>
      <x:c r="D77" s="154"/>
      <x:c r="E77" s="154"/>
      <x:c r="F77" s="155"/>
      <x:c r="G77" s="153" t="str">
        <x:v>DID</x:v>
      </x:c>
      <x:c r="H77" s="155"/>
      <x:c r="I77" s="153" t="s">
        <x:v>20</x:v>
      </x:c>
      <x:c r="J77" s="154"/>
      <x:c r="K77" s="154"/>
      <x:c r="L77" s="155"/>
      <x:c r="M77" s="141"/>
      <x:c r="N77" s="141"/>
      <x:c r="O77" s="141"/>
      <x:c r="P77" s="141"/>
      <x:c r="Q77" s="143"/>
    </x:row>
    <x:row r="78">
      <x:c r="A78" s="153"/>
      <x:c r="B78" s="154"/>
      <x:c r="C78" s="154"/>
      <x:c r="D78" s="154"/>
      <x:c r="E78" s="154"/>
      <x:c r="F78" s="155"/>
      <x:c r="G78" s="153"/>
      <x:c r="H78" s="155"/>
      <x:c r="I78" s="163"/>
      <x:c r="J78" s="154"/>
      <x:c r="K78" s="154"/>
      <x:c r="L78" s="155"/>
      <x:c r="M78" s="141"/>
      <x:c r="N78" s="141"/>
      <x:c r="O78" s="141"/>
      <x:c r="P78" s="141"/>
      <x:c r="Q78" s="143"/>
    </x:row>
    <x:row r="79">
      <x:c r="A79" s="153"/>
      <x:c r="B79" s="154"/>
      <x:c r="C79" s="154"/>
      <x:c r="D79" s="154"/>
      <x:c r="E79" s="154"/>
      <x:c r="F79" s="155"/>
      <x:c r="G79" s="153"/>
      <x:c r="H79" s="154"/>
      <x:c r="I79" s="144" t="s">
        <x:v>22</x:v>
      </x:c>
      <x:c r="J79" s="140"/>
      <x:c r="K79" s="140"/>
      <x:c r="L79" s="140"/>
      <x:c r="M79" s="141"/>
      <x:c r="N79" s="141"/>
      <x:c r="O79" s="141"/>
      <x:c r="P79" s="141"/>
      <x:c r="Q79" s="143"/>
    </x:row>
    <x:row r="80">
      <x:c r="A80" s="153"/>
      <x:c r="B80" s="154"/>
      <x:c r="C80" s="154"/>
      <x:c r="D80" s="154"/>
      <x:c r="E80" s="154"/>
      <x:c r="F80" s="155"/>
      <x:c r="G80" s="153"/>
      <x:c r="H80" s="155"/>
      <x:c r="I80" s="156">
        <x:v>46043</x:v>
      </x:c>
      <x:c r="J80" s="154"/>
      <x:c r="K80" s="154"/>
      <x:c r="L80" s="155"/>
      <x:c r="M80" s="141"/>
      <x:c r="N80" s="141"/>
      <x:c r="O80" s="141"/>
      <x:c r="P80" s="141"/>
      <x:c r="Q80" s="143"/>
    </x:row>
    <x:row r="81">
      <x:c r="A81" s="157" t="str">
        <x:v>Note: scala P, G e R da 1 a 10; R elevato indica minore capacità di rilevazione. RPN = P × G × R. Il residuo è valorizzato solo dopo verifica dell’efficacia delle misure.</x:v>
      </x:c>
      <x:c r="B81" s="158"/>
      <x:c r="C81" s="158"/>
      <x:c r="D81" s="158"/>
      <x:c r="E81" s="158"/>
      <x:c r="F81" s="158"/>
      <x:c r="G81" s="158"/>
      <x:c r="H81" s="158"/>
      <x:c r="I81" s="158"/>
      <x:c r="J81" s="158"/>
      <x:c r="K81" s="158"/>
      <x:c r="L81" s="159"/>
      <x:c r="M81" s="141"/>
      <x:c r="N81" s="141"/>
      <x:c r="O81" s="141"/>
      <x:c r="P81" s="141"/>
      <x:c r="Q81" s="143"/>
    </x:row>
    <x:row r="82">
      <x:c r="A82" s="160"/>
      <x:c r="B82" s="161"/>
      <x:c r="C82" s="161"/>
      <x:c r="D82" s="161"/>
      <x:c r="E82" s="161"/>
      <x:c r="F82" s="161"/>
      <x:c r="G82" s="161"/>
      <x:c r="H82" s="161"/>
      <x:c r="I82" s="161"/>
      <x:c r="J82" s="161"/>
      <x:c r="K82" s="161"/>
      <x:c r="L82" s="162"/>
      <x:c r="M82" s="141"/>
      <x:c r="N82" s="141"/>
      <x:c r="O82" s="141"/>
      <x:c r="P82" s="141"/>
      <x:c r="Q82" s="143"/>
    </x:row>
    <x:row r="83">
      <x:c r="A83" s="141"/>
      <x:c r="B83" s="141"/>
      <x:c r="C83" s="141"/>
      <x:c r="D83" s="141"/>
      <x:c r="E83" s="141"/>
      <x:c r="F83" s="141"/>
      <x:c r="G83" s="141"/>
      <x:c r="H83" s="141"/>
      <x:c r="I83" s="141"/>
      <x:c r="J83" s="142"/>
      <x:c r="K83" s="142"/>
      <x:c r="L83" s="143"/>
      <x:c r="M83" s="141"/>
      <x:c r="N83" s="141"/>
      <x:c r="O83" s="141"/>
      <x:c r="P83" s="141"/>
      <x:c r="Q83" s="143"/>
    </x:row>
    <x:row r="84">
      <x:c r="A84" s="141"/>
      <x:c r="B84" s="141"/>
      <x:c r="C84" s="141"/>
      <x:c r="D84" s="141"/>
      <x:c r="E84" s="141"/>
      <x:c r="F84" s="141"/>
      <x:c r="G84" s="141"/>
      <x:c r="H84" s="141"/>
      <x:c r="I84" s="141"/>
      <x:c r="J84" s="142"/>
      <x:c r="K84" s="142"/>
      <x:c r="L84" s="143"/>
      <x:c r="M84" s="141"/>
      <x:c r="N84" s="141"/>
      <x:c r="O84" s="141"/>
      <x:c r="P84" s="141"/>
      <x:c r="Q84" s="143"/>
    </x:row>
  </x:sheetData>
  <x:mergeCells>
    <x:mergeCell ref="A2:H2"/>
    <x:mergeCell ref="I2:Q2"/>
    <x:mergeCell ref="B10:B13"/>
    <x:mergeCell ref="B14:B16"/>
    <x:mergeCell ref="A10:A13"/>
    <x:mergeCell ref="A14:A16"/>
    <x:mergeCell ref="C10:C13"/>
    <x:mergeCell ref="A5:A9"/>
    <x:mergeCell ref="B5:B9"/>
    <x:mergeCell ref="C5:C9"/>
    <x:mergeCell ref="M6:Q8"/>
    <x:mergeCell ref="A17:A19"/>
    <x:mergeCell ref="A21:A27"/>
    <x:mergeCell ref="A28:A32"/>
    <x:mergeCell ref="A33:A36"/>
    <x:mergeCell ref="A37:A39"/>
    <x:mergeCell ref="B17:B19"/>
    <x:mergeCell ref="B21:B27"/>
    <x:mergeCell ref="B61:B62"/>
    <x:mergeCell ref="C61:C62"/>
    <x:mergeCell ref="B28:B32"/>
    <x:mergeCell ref="B33:B36"/>
    <x:mergeCell ref="B37:B39"/>
    <x:mergeCell ref="B40:B42"/>
    <x:mergeCell ref="B57:B60"/>
    <x:mergeCell ref="B44:B47"/>
    <x:mergeCell ref="B48:B50"/>
    <x:mergeCell ref="B51:B52"/>
    <x:mergeCell ref="B53:B56"/>
    <x:mergeCell ref="C17:C19"/>
    <x:mergeCell ref="A63:A66"/>
    <x:mergeCell ref="A67:A70"/>
    <x:mergeCell ref="A57:A60"/>
    <x:mergeCell ref="A40:A42"/>
    <x:mergeCell ref="A44:A47"/>
    <x:mergeCell ref="A48:A50"/>
    <x:mergeCell ref="A51:A52"/>
    <x:mergeCell ref="A53:A56"/>
    <x:mergeCell ref="A61:A62"/>
    <x:mergeCell ref="C67:C70"/>
    <x:mergeCell ref="B63:B66"/>
    <x:mergeCell ref="B67:B70"/>
    <x:mergeCell ref="C57:C60"/>
    <x:mergeCell ref="D57:D60"/>
    <x:mergeCell ref="D64:D66"/>
    <x:mergeCell ref="C64:C66"/>
    <x:mergeCell ref="D17:D19"/>
    <x:mergeCell ref="D54:D56"/>
    <x:mergeCell ref="C54:C56"/>
    <x:mergeCell ref="A76:F76"/>
    <x:mergeCell ref="G76:H76"/>
    <x:mergeCell ref="I76:L76"/>
    <x:mergeCell ref="A77:F77"/>
    <x:mergeCell ref="G77:H77"/>
    <x:mergeCell ref="I77:L77"/>
    <x:mergeCell ref="A74:F74"/>
    <x:mergeCell ref="G74:H74"/>
    <x:mergeCell ref="I74:L74"/>
    <x:mergeCell ref="A75:F75"/>
    <x:mergeCell ref="G75:H75"/>
    <x:mergeCell ref="I75:L75"/>
    <x:mergeCell ref="A80:F80"/>
    <x:mergeCell ref="G80:H80"/>
    <x:mergeCell ref="I80:L80"/>
    <x:mergeCell ref="A81:L82"/>
    <x:mergeCell ref="A78:F78"/>
    <x:mergeCell ref="G78:H78"/>
    <x:mergeCell ref="I78:L78"/>
    <x:mergeCell ref="A79:F79"/>
    <x:mergeCell ref="G79:H79"/>
  </x:mergeCells>
  <x:conditionalFormatting sqref="F5:H71">
    <x:cfRule type="expression" dxfId="32" priority="1">
      <x:formula>AND(ISNUMBER(F5),F5&gt;=1,F5&lt;=3)</x:formula>
    </x:cfRule>
    <x:cfRule type="expression" dxfId="33" priority="2">
      <x:formula>AND(ISNUMBER(F5),F5&gt;=4,F5&lt;=6)</x:formula>
    </x:cfRule>
    <x:cfRule type="expression" dxfId="34" priority="3">
      <x:formula>AND(ISNUMBER(F5),F5&gt;=7,F5&lt;=10)</x:formula>
    </x:cfRule>
  </x:conditionalFormatting>
  <x:conditionalFormatting sqref="M5:O71">
    <x:cfRule type="expression" dxfId="35" priority="4">
      <x:formula>AND(ISNUMBER(M5),M5&gt;=1,M5&lt;=3)</x:formula>
    </x:cfRule>
    <x:cfRule type="expression" dxfId="36" priority="5">
      <x:formula>AND(ISNUMBER(M5),M5&gt;=4,M5&lt;=6)</x:formula>
    </x:cfRule>
    <x:cfRule type="expression" dxfId="37" priority="6">
      <x:formula>AND(ISNUMBER(M5),M5&gt;=7,M5&lt;=10)</x:formula>
    </x:cfRule>
  </x:conditionalFormatting>
  <x:conditionalFormatting sqref="J5:K71">
    <x:cfRule type="expression" dxfId="38" priority="7">
      <x:formula>AND(ISNUMBER(J5),J5&gt;=1,J5&lt;=49)</x:formula>
    </x:cfRule>
    <x:cfRule type="expression" dxfId="39" priority="8">
      <x:formula>AND(ISNUMBER(J5),J5&gt;=50,J5&lt;=74)</x:formula>
    </x:cfRule>
    <x:cfRule type="expression" dxfId="40" priority="9">
      <x:formula>AND(ISNUMBER(J5),J5&gt;=75,J5&lt;=1000)</x:formula>
    </x:cfRule>
  </x:conditionalFormatting>
  <x:conditionalFormatting sqref="P5:P71">
    <x:cfRule type="expression" dxfId="41" priority="10">
      <x:formula>AND(ISNUMBER(P5),P5&gt;=1,P5&lt;=49)</x:formula>
    </x:cfRule>
    <x:cfRule type="expression" dxfId="42" priority="11">
      <x:formula>AND(ISNUMBER(P5),P5&gt;=50,P5&lt;=74)</x:formula>
    </x:cfRule>
    <x:cfRule type="expression" dxfId="43" priority="12">
      <x:formula>AND(ISNUMBER(P5),P5&gt;=75,P5&lt;=1000)</x:formula>
    </x:cfRule>
  </x:conditionalFormatting>
  <x:pageMargins left="0.7" right="0.7" top="0.75" bottom="0.75" header="0.3" footer="0.3"/>
  <x:legacyDrawing xmlns:r="http://schemas.openxmlformats.org/officeDocument/2006/relationships" r:id="R9ee813a6194340d8"/>
</x:worksheet>
</file>

<file path=xl/worksheets/sheet2.xml><?xml version="1.0" encoding="utf-8"?>
<x:worksheet xmlns:x="http://schemas.openxmlformats.org/spreadsheetml/2006/main">
  <x:sheetFormatPr defaultColWidth="8.7109375" defaultRowHeight="11.25"/>
  <x:cols>
    <x:col min="1" max="1" width="25.5703125" style="93" customWidth="1"/>
    <x:col min="2" max="2" width="4" style="93" customWidth="1"/>
    <x:col min="3" max="3" width="3.42578125" style="93" customWidth="1"/>
    <x:col min="4" max="5" width="5" style="93" customWidth="1"/>
    <x:col min="6" max="6" width="7.5703125" style="93" customWidth="1"/>
    <x:col min="7" max="7" width="11.42578125" style="93" customWidth="1"/>
    <x:col min="8" max="8" width="14.42578125" style="93" customWidth="1"/>
    <x:col min="9" max="9" width="35.5703125" style="93" customWidth="1"/>
    <x:col min="10" max="10" width="14.85546875" style="93" customWidth="1"/>
    <x:col min="11" max="11" width="12.28515625" style="93" customWidth="1"/>
    <x:col min="12" max="16384" width="8.7109375" style="93" customWidth="0"/>
  </x:cols>
  <x:sheetData>
    <x:row r="1" ht="12"/>
    <x:row r="2" ht="18" customHeight="1">
      <x:c r="A2" s="167" t="str">
        <x:v>RISK MANAGEMENT — AIFECS</x:v>
      </x:c>
      <x:c r="B2" s="168"/>
      <x:c r="C2" s="168"/>
      <x:c r="D2" s="168"/>
      <x:c r="E2" s="168"/>
      <x:c r="F2" s="168"/>
      <x:c r="G2" s="168"/>
      <x:c r="H2" s="168"/>
      <x:c r="I2" s="168" t="str">
        <x:v>Mod.02.PO.06.1 rev.03 02/10/2026</x:v>
      </x:c>
      <x:c r="J2" s="168"/>
      <x:c r="K2" s="169"/>
    </x:row>
    <x:row r="3" ht="8.100000381469727" customHeight="1">
      <x:c r="H3" s="94"/>
    </x:row>
    <x:row r="4" ht="8.100000381469727" customHeight="1">
      <x:c r="H4" s="94"/>
    </x:row>
    <x:row r="5" ht="8.100000381469727" customHeight="1">
      <x:c r="A5" s="174" t="str">
        <x:v>Mod.02.PO.06.1 Risk management - rev.03 02/10/2026</x:v>
      </x:c>
      <x:c r="B5" s="174"/>
      <x:c r="C5" s="174"/>
      <x:c r="D5" s="174"/>
      <x:c r="E5" s="174"/>
      <x:c r="F5" s="174"/>
      <x:c r="G5" s="174"/>
      <x:c r="H5" s="174"/>
      <x:c r="I5" s="174"/>
      <x:c r="J5" s="174"/>
      <x:c r="K5" s="174"/>
    </x:row>
    <x:row r="6" ht="8.100000381469727" customHeight="1">
      <x:c r="A6" s="174"/>
      <x:c r="B6" s="174"/>
      <x:c r="C6" s="174"/>
      <x:c r="D6" s="174"/>
      <x:c r="E6" s="174"/>
      <x:c r="F6" s="174"/>
      <x:c r="G6" s="174"/>
      <x:c r="H6" s="174"/>
      <x:c r="I6" s="174"/>
      <x:c r="J6" s="174"/>
      <x:c r="K6" s="174"/>
    </x:row>
    <x:row r="7" ht="8.100000381469727" customHeight="1">
      <x:c r="A7" s="174"/>
      <x:c r="B7" s="174"/>
      <x:c r="C7" s="174"/>
      <x:c r="D7" s="174"/>
      <x:c r="E7" s="174"/>
      <x:c r="F7" s="174"/>
      <x:c r="G7" s="174"/>
      <x:c r="H7" s="174"/>
      <x:c r="I7" s="174"/>
      <x:c r="J7" s="174"/>
      <x:c r="K7" s="174"/>
    </x:row>
    <x:row r="8" ht="8.100000381469727" customHeight="1">
      <x:c r="H8" s="94"/>
    </x:row>
    <x:row r="9" ht="8.100000381469727" customHeight="1">
      <x:c r="H9" s="94"/>
    </x:row>
    <x:row r="10" ht="11.449999809265137" customHeight="1">
      <x:c r="A10" s="95" t="s">
        <x:v>23</x:v>
      </x:c>
      <x:c r="B10" s="128" t="n">
        <x:f>AVERAGE(G24:G43)</x:f>
        <x:v>104.45</x:v>
      </x:c>
      <x:c r="D10" s="205" t="str">
        <x:v>OBIETTIVO INDICE RESIDUO MEDIO</x:v>
      </x:c>
      <x:c r="E10" s="205"/>
      <x:c r="F10" s="206"/>
      <x:c r="G10" s="207" t="str">
        <x:v>&lt;50</x:v>
      </x:c>
      <x:c r="H10" s="96"/>
      <x:c r="I10" s="170" t="s">
        <x:v>24</x:v>
      </x:c>
      <x:c r="J10" s="170"/>
      <x:c r="K10" s="170"/>
    </x:row>
    <x:row r="11" ht="11.100000381469727" customHeight="1">
      <x:c r="A11" s="95" t="str">
        <x:v>MEDIA RESIDUI DISPONIBILI</x:v>
      </x:c>
      <x:c r="B11" s="128" t="n">
        <x:f>IF(COUNT(D24:D43)=0,"",AVERAGE(D24:D43))</x:f>
        <x:v>29.41176470588235</x:v>
      </x:c>
      <x:c r="D11" s="205"/>
      <x:c r="E11" s="205"/>
      <x:c r="F11" s="206"/>
      <x:c r="G11" s="208"/>
      <x:c r="H11" s="96"/>
      <x:c r="I11" s="171"/>
      <x:c r="J11" s="171"/>
      <x:c r="K11" s="171"/>
    </x:row>
    <x:row r="12" ht="36" customHeight="1">
      <x:c r="A12" s="97"/>
      <x:c r="B12" s="97"/>
      <x:c r="D12" s="205" t="str">
        <x:v>OBIETTIVO % MISURE GESTITE</x:v>
      </x:c>
      <x:c r="E12" s="205"/>
      <x:c r="F12" s="206"/>
      <x:c r="G12" s="207" t="str">
        <x:v>&gt;80%</x:v>
      </x:c>
      <x:c r="H12" s="96"/>
      <x:c r="I12" s="172" t="s">
        <x:v>25</x:v>
      </x:c>
      <x:c r="J12" s="172"/>
      <x:c r="K12" s="315" t="str">
        <x:f>IF(COUNT(D24:D43)&lt;COUNTIFS(C24:C43,"R"),"VALUTAZIONI RESIDUE INCOMPLETE",IF(D16&lt;50,"RAGGIUNTO","NON RAGGIUNTO"))</x:f>
        <x:v>VALUTAZIONI RESIDUE INCOMPLETE</x:v>
      </x:c>
      <x:c r="L12" s="247"/>
    </x:row>
    <x:row r="13" ht="5.099999904632568" customHeight="1">
      <x:c r="A13" s="97"/>
      <x:c r="B13" s="98"/>
      <x:c r="C13" s="94"/>
      <x:c r="D13" s="205"/>
      <x:c r="E13" s="205"/>
      <x:c r="F13" s="206"/>
      <x:c r="G13" s="209"/>
      <x:c r="H13" s="96"/>
      <x:c r="I13" s="172"/>
      <x:c r="J13" s="172"/>
      <x:c r="K13" s="173"/>
    </x:row>
    <x:row r="14" ht="13.5" customHeight="1">
      <x:c r="A14" s="97"/>
      <x:c r="B14" s="98"/>
      <x:c r="C14" s="94"/>
      <x:c r="D14" s="205"/>
      <x:c r="E14" s="205"/>
      <x:c r="F14" s="206"/>
      <x:c r="G14" s="208"/>
      <x:c r="H14" s="96"/>
      <x:c r="I14" s="204" t="s">
        <x:v>26</x:v>
      </x:c>
      <x:c r="J14" s="204"/>
      <x:c r="K14" s="131" t="str">
        <x:f>IF(K18&gt;80%,"RAGGIUNTO","NON RAGGIUNTO")</x:f>
        <x:v>NON RAGGIUNTO</x:v>
      </x:c>
    </x:row>
    <x:row r="15" ht="13.5" customHeight="1">
      <x:c r="A15" s="97"/>
      <x:c r="B15" s="97"/>
      <x:c r="C15" s="94"/>
      <x:c r="D15" s="197" t="str">
        <x:v>MEDIA RESIDUI DISPONIBILI</x:v>
      </x:c>
      <x:c r="E15" s="197"/>
      <x:c r="F15" s="197"/>
      <x:c r="G15" s="210"/>
      <x:c r="H15" s="96"/>
      <x:c r="I15" s="316" t="str">
        <x:v>RIDUZIONE MEDIA RISCHI RIVALUTATI</x:v>
      </x:c>
      <x:c r="J15" s="316"/>
      <x:c r="K15" s="173" t="n">
        <x:f>IF(COUNT(D24:D43)=0,"",AVERAGEIFS(G24:G43,D24:D43,"&gt;0")-D16)</x:f>
        <x:v>73.47058823529412</x:v>
      </x:c>
    </x:row>
    <x:row r="16" ht="9.949999809265137" customHeight="1">
      <x:c r="A16" s="97"/>
      <x:c r="B16" s="101"/>
      <x:c r="C16" s="94"/>
      <x:c r="D16" s="190" t="n">
        <x:f>IF(COUNT(D24:D43)=0,"",AVERAGE(D24:D43))</x:f>
        <x:v>29.41176470588235</x:v>
      </x:c>
      <x:c r="E16" s="191"/>
      <x:c r="F16" s="191"/>
      <x:c r="G16" s="192"/>
      <x:c r="H16" s="96" t="n">
        <x:f>COUNTIF(C24:C47,"R")</x:f>
        <x:v>20</x:v>
      </x:c>
      <x:c r="I16" s="317"/>
      <x:c r="J16" s="317"/>
      <x:c r="K16" s="173"/>
    </x:row>
    <x:row r="17" ht="9" customHeight="1">
      <x:c r="A17" s="97"/>
      <x:c r="B17" s="101"/>
      <x:c r="C17" s="94"/>
      <x:c r="D17" s="193"/>
      <x:c r="E17" s="194"/>
      <x:c r="F17" s="194"/>
      <x:c r="G17" s="195"/>
      <x:c r="H17" s="102" t="n">
        <x:f>IF(H16=0,"",COUNTIFS(C24:C47,"R",K24:K47,"Gestito")/H16)</x:f>
        <x:v>0.8</x:v>
      </x:c>
      <x:c r="I17" s="94" t="s">
        <x:v>27</x:v>
      </x:c>
      <x:c r="J17" s="103"/>
      <x:c r="K17" s="94"/>
    </x:row>
    <x:row r="18" ht="36" customHeight="1">
      <x:c r="A18" s="97"/>
      <x:c r="B18" s="97"/>
      <x:c r="C18" s="94"/>
      <x:c r="D18" s="99"/>
      <x:c r="E18" s="99"/>
      <x:c r="F18" s="99"/>
      <x:c r="G18" s="100"/>
      <x:c r="H18" s="94"/>
      <x:c r="I18" s="314" t="str">
        <x:v>AVANZAMENTO MISURE (RISCHI E OPPORTUNITÀ)</x:v>
      </x:c>
      <x:c r="J18" s="314"/>
      <x:c r="K18" s="196" t="n">
        <x:f>AVERAGE(L24:L47)</x:f>
        <x:v>0.7708333333333334</x:v>
      </x:c>
    </x:row>
    <x:row r="19" ht="9.949999809265137" customHeight="1">
      <x:c r="A19" s="97"/>
      <x:c r="B19" s="97"/>
      <x:c r="C19" s="94"/>
      <x:c r="D19" s="197" t="s">
        <x:v>23</x:v>
      </x:c>
      <x:c r="E19" s="197"/>
      <x:c r="F19" s="197"/>
      <x:c r="G19" s="197"/>
      <x:c r="H19" s="96" t="n">
        <x:f>COUNTIFS(C24:C47,"O",K24:K47,"Gestito")</x:f>
        <x:v>1</x:v>
      </x:c>
      <x:c r="I19" s="181"/>
      <x:c r="J19" s="181"/>
      <x:c r="K19" s="196"/>
    </x:row>
    <x:row r="20" ht="6.949999809265137" customHeight="1">
      <x:c r="A20" s="97"/>
      <x:c r="B20" s="105"/>
      <x:c r="C20" s="94"/>
      <x:c r="D20" s="175" t="n">
        <x:f>AVERAGE(G24:G43)</x:f>
        <x:v>104.45</x:v>
      </x:c>
      <x:c r="E20" s="176"/>
      <x:c r="F20" s="176"/>
      <x:c r="G20" s="177"/>
      <x:c r="H20" s="106" t="n">
        <x:f>COUNTIF(C24:C47,"O")</x:f>
        <x:v>4</x:v>
      </x:c>
      <x:c r="J20" s="107"/>
    </x:row>
    <x:row r="21" ht="12" customHeight="1">
      <x:c r="A21" s="97"/>
      <x:c r="B21" s="98"/>
      <x:c r="C21" s="94"/>
      <x:c r="D21" s="178"/>
      <x:c r="E21" s="179"/>
      <x:c r="F21" s="179"/>
      <x:c r="G21" s="180"/>
      <x:c r="H21" s="108" t="n">
        <x:f>IF(H20=0,"",H19/H20)</x:f>
        <x:v>0.25</x:v>
      </x:c>
      <x:c r="I21" s="181" t="s">
        <x:v>28</x:v>
      </x:c>
      <x:c r="J21" s="181"/>
      <x:c r="K21" s="104" t="n">
        <x:f>1-K18</x:f>
        <x:v>0.22916666666666663</x:v>
      </x:c>
    </x:row>
    <x:row r="22" ht="6.949999809265137" customHeight="1">
      <x:c r="B22" s="109"/>
      <x:c r="D22" s="110"/>
      <x:c r="E22" s="110"/>
      <x:c r="F22" s="110"/>
      <x:c r="G22" s="111"/>
      <x:c r="H22" s="112"/>
      <x:c r="I22" s="113"/>
      <x:c r="J22" s="113"/>
      <x:c r="K22" s="114"/>
    </x:row>
    <x:row r="23" ht="22.5" customHeight="1">
      <x:c r="A23" s="115" t="s">
        <x:v>29</x:v>
      </x:c>
      <x:c r="B23" s="116" t="s">
        <x:v>30</x:v>
      </x:c>
      <x:c r="C23" s="117" t="s">
        <x:v>31</x:v>
      </x:c>
      <x:c r="D23" s="185" t="str">
        <x:v>INDICE RESIDUO / REALIZZATO</x:v>
      </x:c>
      <x:c r="E23" s="186"/>
      <x:c r="F23" s="187"/>
      <x:c r="G23" s="118" t="str">
        <x:v>INDICE INIZIALE / POTENZIALE</x:v>
      </x:c>
      <x:c r="H23" s="118" t="s">
        <x:v>32</x:v>
      </x:c>
      <x:c r="I23" s="118" t="s">
        <x:v>33</x:v>
      </x:c>
      <x:c r="J23" s="119" t="s">
        <x:v>34</x:v>
      </x:c>
      <x:c r="K23" s="119" t="s">
        <x:v>35</x:v>
      </x:c>
    </x:row>
    <x:row r="24" ht="11.25" customHeight="1">
      <x:c r="A24" s="120" t="str">
        <x:f>'Basic info'!A2</x:f>
        <x:v>Analisi incompleta dei fabbisogni formativi</x:v>
      </x:c>
      <x:c r="B24" s="125" t="n">
        <x:v>1</x:v>
      </x:c>
      <x:c r="C24" s="121" t="str">
        <x:v>R</x:v>
      </x:c>
      <x:c r="D24" s="182" t="n">
        <x:f>IF(ISNUMBER('Basic info'!C2),'Basic info'!C2,"")</x:f>
        <x:v>32</x:v>
      </x:c>
      <x:c r="E24" s="183"/>
      <x:c r="F24" s="184"/>
      <x:c r="G24" s="129" t="n">
        <x:f>'Basic info'!B2</x:f>
        <x:v>128</x:v>
      </x:c>
      <x:c r="H24" s="126" t="str">
        <x:v>Mitigare il rischio</x:v>
      </x:c>
      <x:c r="I24" s="136" t="str">
        <x:v>AC 01/26</x:v>
      </x:c>
      <x:c r="J24" s="120" t="str">
        <x:v>DIR / DID</x:v>
      </x:c>
      <x:c r="K24" s="138" t="str">
        <x:v>Gestito</x:v>
      </x:c>
      <x:c r="L24" s="145" t="n">
        <x:f>IF(K24="Gestito",1,IF(K24="In Programma",0.5,0))</x:f>
        <x:v>1</x:v>
      </x:c>
      <x:c r="M24" s="127"/>
    </x:row>
    <x:row r="25" ht="11.25" customHeight="1">
      <x:c r="A25" s="120" t="str">
        <x:f>'Basic info'!A3</x:f>
        <x:v>Progettazione didattica non conforme</x:v>
      </x:c>
      <x:c r="B25" s="125" t="n">
        <x:v>2</x:v>
      </x:c>
      <x:c r="C25" s="121" t="str">
        <x:v>R</x:v>
      </x:c>
      <x:c r="D25" s="182" t="n">
        <x:f>IF(ISNUMBER('Basic info'!C3),'Basic info'!C3,"")</x:f>
        <x:v>36</x:v>
      </x:c>
      <x:c r="E25" s="183"/>
      <x:c r="F25" s="184"/>
      <x:c r="G25" s="129" t="n">
        <x:f>'Basic info'!B3</x:f>
        <x:v>108</x:v>
      </x:c>
      <x:c r="H25" s="126" t="str">
        <x:v>Mitigare il rischio</x:v>
      </x:c>
      <x:c r="I25" s="136" t="str">
        <x:v>AC 02/26</x:v>
      </x:c>
      <x:c r="J25" s="120" t="str">
        <x:v>DID</x:v>
      </x:c>
      <x:c r="K25" s="138" t="str">
        <x:v>Gestito</x:v>
      </x:c>
      <x:c r="L25" s="145" t="n">
        <x:f t="shared" ref="L25:L43" si="0">IF(K25="Gestito",1,IF(K25="In Programma",0.5,0))</x:f>
        <x:v>1</x:v>
      </x:c>
      <x:c r="M25" s="127"/>
    </x:row>
    <x:row r="26" ht="11.25" customHeight="1">
      <x:c r="A26" s="120" t="str">
        <x:f>'Basic info'!A4</x:f>
        <x:v>Carenza di docenti qualificati</x:v>
      </x:c>
      <x:c r="B26" s="125" t="n">
        <x:v>3</x:v>
      </x:c>
      <x:c r="C26" s="121" t="str">
        <x:v>R</x:v>
      </x:c>
      <x:c r="D26" s="182" t="n">
        <x:f>IF(ISNUMBER('Basic info'!C4),'Basic info'!C4,"")</x:f>
        <x:v>32</x:v>
      </x:c>
      <x:c r="E26" s="183"/>
      <x:c r="F26" s="184"/>
      <x:c r="G26" s="129" t="n">
        <x:f>'Basic info'!B4</x:f>
        <x:v>96</x:v>
      </x:c>
      <x:c r="H26" s="126" t="str">
        <x:v>Mitigare il rischio</x:v>
      </x:c>
      <x:c r="I26" s="136" t="str">
        <x:v>AC 03/26</x:v>
      </x:c>
      <x:c r="J26" s="120" t="str">
        <x:v>DID / QUAL</x:v>
      </x:c>
      <x:c r="K26" s="139" t="str">
        <x:v>Gestito</x:v>
      </x:c>
      <x:c r="L26" s="145" t="n">
        <x:f t="shared" si="0">IF(K26="Gestito",1,IF(K26="In Programma",0.5,0))</x:f>
        <x:v>1</x:v>
      </x:c>
      <x:c r="M26" s="127"/>
    </x:row>
    <x:row r="27" ht="12" customHeight="1">
      <x:c r="A27" s="120" t="str">
        <x:f>'Basic info'!A5</x:f>
        <x:v>Indisponibilità improvvisa del docente</x:v>
      </x:c>
      <x:c r="B27" s="125" t="n">
        <x:v>4</x:v>
      </x:c>
      <x:c r="C27" s="121" t="str">
        <x:v>R</x:v>
      </x:c>
      <x:c r="D27" s="198" t="n">
        <x:f>IF(ISNUMBER('Basic info'!C5),'Basic info'!C5,"")</x:f>
        <x:v>28</x:v>
      </x:c>
      <x:c r="E27" s="199"/>
      <x:c r="F27" s="200"/>
      <x:c r="G27" s="129" t="n">
        <x:f>'Basic info'!B5</x:f>
        <x:v>63</x:v>
      </x:c>
      <x:c r="H27" s="134" t="str">
        <x:v>Mitigare il rischio</x:v>
      </x:c>
      <x:c r="I27" s="135" t="str">
        <x:v>OP 01/26</x:v>
      </x:c>
      <x:c r="J27" s="120" t="str">
        <x:v>DID</x:v>
      </x:c>
      <x:c r="K27" s="120" t="str">
        <x:v>Gestito</x:v>
      </x:c>
      <x:c r="L27" s="145" t="n">
        <x:f t="shared" si="0">IF(K27="Gestito",1,IF(K27="In Programma",0.5,0))</x:f>
        <x:v>1</x:v>
      </x:c>
      <x:c r="M27" s="127"/>
    </x:row>
    <x:row r="28" ht="12" customHeight="1">
      <x:c r="A28" s="120" t="str">
        <x:f>'Basic info'!A6</x:f>
        <x:v>Verifica incompleta dei requisiti degli iscritti</x:v>
      </x:c>
      <x:c r="B28" s="125" t="n">
        <x:v>5</x:v>
      </x:c>
      <x:c r="C28" s="121" t="str">
        <x:v>R</x:v>
      </x:c>
      <x:c r="D28" s="182" t="n">
        <x:f>IF(ISNUMBER('Basic info'!C6),'Basic info'!C6,"")</x:f>
        <x:v>28</x:v>
      </x:c>
      <x:c r="E28" s="183"/>
      <x:c r="F28" s="184"/>
      <x:c r="G28" s="129" t="n">
        <x:f>'Basic info'!B6</x:f>
        <x:v>84</x:v>
      </x:c>
      <x:c r="H28" s="134" t="str">
        <x:v>Mitigare il rischio</x:v>
      </x:c>
      <x:c r="I28" s="135" t="str">
        <x:v>AC 04/26</x:v>
      </x:c>
      <x:c r="J28" s="120" t="str">
        <x:v>SEG / DID</x:v>
      </x:c>
      <x:c r="K28" s="120" t="str">
        <x:v>Gestito</x:v>
      </x:c>
      <x:c r="L28" s="145" t="n">
        <x:f t="shared" si="0">IF(K28="Gestito",1,IF(K28="In Programma",0.5,0))</x:f>
        <x:v>1</x:v>
      </x:c>
      <x:c r="M28" s="127"/>
    </x:row>
    <x:row r="29" ht="11.25" customHeight="1">
      <x:c r="A29" s="120" t="str">
        <x:f>'Basic info'!A7</x:f>
        <x:v>Errori nella pianificazione di calendario, aule e risorse</x:v>
      </x:c>
      <x:c r="B29" s="125" t="n">
        <x:v>6</x:v>
      </x:c>
      <x:c r="C29" s="121" t="str">
        <x:v>R</x:v>
      </x:c>
      <x:c r="D29" s="182" t="n">
        <x:f>IF(ISNUMBER('Basic info'!C7),'Basic info'!C7,"")</x:f>
        <x:v>36</x:v>
      </x:c>
      <x:c r="E29" s="183"/>
      <x:c r="F29" s="184"/>
      <x:c r="G29" s="129" t="n">
        <x:f>'Basic info'!B7</x:f>
        <x:v>108</x:v>
      </x:c>
      <x:c r="H29" s="126" t="str">
        <x:v>Mitigare il rischio</x:v>
      </x:c>
      <x:c r="I29" s="135" t="str">
        <x:v>AC 05/26</x:v>
      </x:c>
      <x:c r="J29" s="120" t="str">
        <x:v>DID / SEG</x:v>
      </x:c>
      <x:c r="K29" s="120" t="str">
        <x:v>Gestito</x:v>
      </x:c>
      <x:c r="L29" s="145" t="n">
        <x:f t="shared" si="0">IF(K29="Gestito",1,IF(K29="In Programma",0.5,0))</x:f>
        <x:v>1</x:v>
      </x:c>
      <x:c r="M29" s="127"/>
    </x:row>
    <x:row r="30" ht="11.25" customHeight="1">
      <x:c r="A30" s="120" t="str">
        <x:f>'Basic info'!A8</x:f>
        <x:v>Registri presenze e fascicoli corso incompleti</x:v>
      </x:c>
      <x:c r="B30" s="125" t="n">
        <x:v>7</x:v>
      </x:c>
      <x:c r="C30" s="121" t="str">
        <x:v>R</x:v>
      </x:c>
      <x:c r="D30" s="182" t="n">
        <x:f>IF(ISNUMBER('Basic info'!C8),'Basic info'!C8,"")</x:f>
        <x:v>16</x:v>
      </x:c>
      <x:c r="E30" s="183"/>
      <x:c r="F30" s="184"/>
      <x:c r="G30" s="129" t="n">
        <x:f>'Basic info'!B8</x:f>
        <x:v>64</x:v>
      </x:c>
      <x:c r="H30" s="134" t="str">
        <x:v>Mitigare il rischio</x:v>
      </x:c>
      <x:c r="I30" s="135" t="str">
        <x:v>AC 06/26</x:v>
      </x:c>
      <x:c r="J30" s="120" t="str">
        <x:v>DOC / TUT</x:v>
      </x:c>
      <x:c r="K30" s="120" t="str">
        <x:v>Gestito</x:v>
      </x:c>
      <x:c r="L30" s="145" t="n">
        <x:f t="shared" si="0">IF(K30="Gestito",1,IF(K30="In Programma",0.5,0))</x:f>
        <x:v>1</x:v>
      </x:c>
      <x:c r="M30" s="127"/>
    </x:row>
    <x:row r="31" ht="11.25" customHeight="1">
      <x:c r="A31" s="120" t="str">
        <x:f>'Basic info'!A9</x:f>
        <x:v>Erogazione non coerente con il progetto approvato</x:v>
      </x:c>
      <x:c r="B31" s="125" t="n">
        <x:v>8</x:v>
      </x:c>
      <x:c r="C31" s="121" t="str">
        <x:v>R</x:v>
      </x:c>
      <x:c r="D31" s="182" t="n">
        <x:f>IF(ISNUMBER('Basic info'!C9),'Basic info'!C9,"")</x:f>
        <x:v>32</x:v>
      </x:c>
      <x:c r="E31" s="183"/>
      <x:c r="F31" s="184"/>
      <x:c r="G31" s="129" t="n">
        <x:f>'Basic info'!B9</x:f>
        <x:v>96</x:v>
      </x:c>
      <x:c r="H31" s="126" t="str">
        <x:v>Mitigare il rischio</x:v>
      </x:c>
      <x:c r="I31" s="136" t="str">
        <x:v>AC 07/26</x:v>
      </x:c>
      <x:c r="J31" s="120" t="str">
        <x:v>DOC / TUT</x:v>
      </x:c>
      <x:c r="K31" s="138" t="str">
        <x:v>Gestito</x:v>
      </x:c>
      <x:c r="L31" s="145" t="n">
        <x:f t="shared" si="0">IF(K31="Gestito",1,IF(K31="In Programma",0.5,0))</x:f>
        <x:v>1</x:v>
      </x:c>
      <x:c r="M31" s="127"/>
    </x:row>
    <x:row r="32" ht="11.25" customHeight="1">
      <x:c r="A32" s="120" t="str">
        <x:f>'Basic info'!A10</x:f>
        <x:v>Malfunzionamento della piattaforma FAD</x:v>
      </x:c>
      <x:c r="B32" s="125" t="n">
        <x:v>9</x:v>
      </x:c>
      <x:c r="C32" s="121" t="str">
        <x:v>R</x:v>
      </x:c>
      <x:c r="D32" s="182" t="n">
        <x:f>IF(ISNUMBER('Basic info'!C10),'Basic info'!C10,"")</x:f>
        <x:v>28</x:v>
      </x:c>
      <x:c r="E32" s="183"/>
      <x:c r="F32" s="184"/>
      <x:c r="G32" s="129" t="n">
        <x:f>'Basic info'!B10</x:f>
        <x:v>112</x:v>
      </x:c>
      <x:c r="H32" s="134" t="str">
        <x:v>Mitigare il rischio</x:v>
      </x:c>
      <x:c r="I32" s="135" t="str">
        <x:v>OP 02/26</x:v>
      </x:c>
      <x:c r="J32" s="120" t="str">
        <x:v>DID / FORN</x:v>
      </x:c>
      <x:c r="K32" s="120" t="str">
        <x:v>Gestito</x:v>
      </x:c>
      <x:c r="L32" s="145" t="n">
        <x:f t="shared" si="0">IF(K32="Gestito",1,IF(K32="In Programma",0.5,0))</x:f>
        <x:v>1</x:v>
      </x:c>
      <x:c r="M32" s="127"/>
    </x:row>
    <x:row r="33" ht="12" customHeight="1">
      <x:c r="A33" s="120" t="str">
        <x:f>'Basic info'!A11</x:f>
        <x:v>Aule o attrezzature non idonee</x:v>
      </x:c>
      <x:c r="B33" s="125" t="n">
        <x:v>10</x:v>
      </x:c>
      <x:c r="C33" s="121" t="str">
        <x:v>R</x:v>
      </x:c>
      <x:c r="D33" s="182" t="n">
        <x:f>IF(ISNUMBER('Basic info'!C11),'Basic info'!C11,"")</x:f>
        <x:v>36</x:v>
      </x:c>
      <x:c r="E33" s="183"/>
      <x:c r="F33" s="184"/>
      <x:c r="G33" s="129" t="n">
        <x:f>'Basic info'!B11</x:f>
        <x:v>108</x:v>
      </x:c>
      <x:c r="H33" s="134" t="str">
        <x:v>Mitigare il rischio</x:v>
      </x:c>
      <x:c r="I33" s="135" t="str">
        <x:v>AC 08/26</x:v>
      </x:c>
      <x:c r="J33" s="120" t="str">
        <x:v>DID / SEG</x:v>
      </x:c>
      <x:c r="K33" s="120" t="str">
        <x:v>Gestito</x:v>
      </x:c>
      <x:c r="L33" s="145" t="n">
        <x:f t="shared" si="0">IF(K33="Gestito",1,IF(K33="In Programma",0.5,0))</x:f>
        <x:v>1</x:v>
      </x:c>
      <x:c r="M33" s="127"/>
    </x:row>
    <x:row r="34" ht="11.25" customHeight="1">
      <x:c r="A34" s="120" t="str">
        <x:f>'Basic info'!A12</x:f>
        <x:v>Valutazione degli apprendimenti non affidabile</x:v>
      </x:c>
      <x:c r="B34" s="125" t="n">
        <x:v>11</x:v>
      </x:c>
      <x:c r="C34" s="121" t="str">
        <x:v>R</x:v>
      </x:c>
      <x:c r="D34" s="182" t="n">
        <x:f>IF(ISNUMBER('Basic info'!C12),'Basic info'!C12,"")</x:f>
        <x:v>32</x:v>
      </x:c>
      <x:c r="E34" s="183"/>
      <x:c r="F34" s="184"/>
      <x:c r="G34" s="129" t="n">
        <x:f>'Basic info'!B12</x:f>
        <x:v>96</x:v>
      </x:c>
      <x:c r="H34" s="126" t="str">
        <x:v>Mitigare il rischio</x:v>
      </x:c>
      <x:c r="I34" s="135" t="str">
        <x:v>AC 09/26</x:v>
      </x:c>
      <x:c r="J34" s="120" t="str">
        <x:v>DOC / DID</x:v>
      </x:c>
      <x:c r="K34" s="120" t="str">
        <x:v>Gestito</x:v>
      </x:c>
      <x:c r="L34" s="145" t="n">
        <x:f t="shared" si="0">IF(K34="Gestito",1,IF(K34="In Programma",0.5,0))</x:f>
        <x:v>1</x:v>
      </x:c>
      <x:c r="M34" s="127"/>
    </x:row>
    <x:row r="35" ht="12" customHeight="1">
      <x:c r="A35" s="120" t="str">
        <x:f>'Basic info'!A13</x:f>
        <x:v>Reclami e questionari di gradimento non analizzati</x:v>
      </x:c>
      <x:c r="B35" s="125" t="n">
        <x:v>12</x:v>
      </x:c>
      <x:c r="C35" s="121" t="str">
        <x:v>R</x:v>
      </x:c>
      <x:c r="D35" s="198" t="n">
        <x:f>IF(ISNUMBER('Basic info'!C13),'Basic info'!C13,"")</x:f>
        <x:v>32</x:v>
      </x:c>
      <x:c r="E35" s="199"/>
      <x:c r="F35" s="200"/>
      <x:c r="G35" s="129" t="n">
        <x:f>'Basic info'!B13</x:f>
        <x:v>128</x:v>
      </x:c>
      <x:c r="H35" s="134" t="str">
        <x:v>Mitigare il rischio</x:v>
      </x:c>
      <x:c r="I35" s="137" t="str">
        <x:v>OP 03/26</x:v>
      </x:c>
      <x:c r="J35" s="120" t="str">
        <x:v>QUAL / DID</x:v>
      </x:c>
      <x:c r="K35" s="138" t="str">
        <x:v>Gestito</x:v>
      </x:c>
      <x:c r="L35" s="145" t="n">
        <x:f t="shared" si="0">IF(K35="Gestito",1,IF(K35="In Programma",0.5,0))</x:f>
        <x:v>1</x:v>
      </x:c>
      <x:c r="M35" s="127"/>
    </x:row>
    <x:row r="36" ht="11.25" customHeight="1">
      <x:c r="A36" s="120" t="str">
        <x:f>'Basic info'!A14</x:f>
        <x:v>Indicatori e risultati formativi non monitorati</x:v>
      </x:c>
      <x:c r="B36" s="125" t="n">
        <x:v>13</x:v>
      </x:c>
      <x:c r="C36" s="121" t="str">
        <x:v>R</x:v>
      </x:c>
      <x:c r="D36" s="182" t="n">
        <x:f>IF(ISNUMBER('Basic info'!C14),'Basic info'!C14,"")</x:f>
        <x:v>32</x:v>
      </x:c>
      <x:c r="E36" s="183"/>
      <x:c r="F36" s="184"/>
      <x:c r="G36" s="129" t="n">
        <x:f>'Basic info'!B14</x:f>
        <x:v>120</x:v>
      </x:c>
      <x:c r="H36" s="134" t="str">
        <x:v>Ridurre e monitorare</x:v>
      </x:c>
      <x:c r="I36" s="135" t="str">
        <x:v>AC 10/26</x:v>
      </x:c>
      <x:c r="J36" s="120" t="str">
        <x:v>QUAL / DIR</x:v>
      </x:c>
      <x:c r="K36" s="120" t="str">
        <x:v>In Programma</x:v>
      </x:c>
      <x:c r="L36" s="145" t="n">
        <x:f t="shared" si="0">IF(K36="Gestito",1,IF(K36="In Programma",0.5,0))</x:f>
        <x:v>0.5</x:v>
      </x:c>
      <x:c r="M36" s="127"/>
    </x:row>
    <x:row r="37" ht="11.25" customHeight="1">
      <x:c r="A37" s="120" t="str">
        <x:f>'Basic info'!A15</x:f>
        <x:v>Errori nella rendicontazione dei corsi finanziati</x:v>
      </x:c>
      <x:c r="B37" s="125" t="n">
        <x:v>14</x:v>
      </x:c>
      <x:c r="C37" s="121" t="str">
        <x:v>R</x:v>
      </x:c>
      <x:c r="D37" s="182" t="str">
        <x:f>IF(ISNUMBER('Basic info'!C15),'Basic info'!C15,"")</x:f>
      </x:c>
      <x:c r="E37" s="183"/>
      <x:c r="F37" s="184"/>
      <x:c r="G37" s="129" t="n">
        <x:f>'Basic info'!B15</x:f>
        <x:v>150</x:v>
      </x:c>
      <x:c r="H37" s="134" t="str">
        <x:v>Ridurre e monitorare</x:v>
      </x:c>
      <x:c r="I37" s="135" t="str">
        <x:v>AC 11/26</x:v>
      </x:c>
      <x:c r="J37" s="120" t="str">
        <x:v>AMM / DID</x:v>
      </x:c>
      <x:c r="K37" s="120" t="str">
        <x:v>In Programma</x:v>
      </x:c>
      <x:c r="L37" s="145" t="n">
        <x:f t="shared" si="0">IF(K37="Gestito",1,IF(K37="In Programma",0.5,0))</x:f>
        <x:v>0.5</x:v>
      </x:c>
      <x:c r="M37" s="127"/>
    </x:row>
    <x:row r="38" ht="12" customHeight="1">
      <x:c r="A38" s="120" t="str">
        <x:f>'Basic info'!A16</x:f>
        <x:v>Violazione dei dati personali di partecipanti e docenti</x:v>
      </x:c>
      <x:c r="B38" s="125" t="n">
        <x:v>15</x:v>
      </x:c>
      <x:c r="C38" s="121" t="str">
        <x:v>R</x:v>
      </x:c>
      <x:c r="D38" s="182" t="n">
        <x:f>IF(ISNUMBER('Basic info'!C16),'Basic info'!C16,"")</x:f>
        <x:v>20</x:v>
      </x:c>
      <x:c r="E38" s="183"/>
      <x:c r="F38" s="184"/>
      <x:c r="G38" s="129" t="n">
        <x:f>'Basic info'!B16</x:f>
        <x:v>150</x:v>
      </x:c>
      <x:c r="H38" s="126" t="str">
        <x:v>Mitigare il rischio</x:v>
      </x:c>
      <x:c r="I38" s="136" t="str">
        <x:v>AC 12/26</x:v>
      </x:c>
      <x:c r="J38" s="120" t="str">
        <x:v>DIR / QUAL</x:v>
      </x:c>
      <x:c r="K38" s="138" t="str">
        <x:v>Gestito</x:v>
      </x:c>
      <x:c r="L38" s="145" t="n">
        <x:f t="shared" si="0">IF(K38="Gestito",1,IF(K38="In Programma",0.5,0))</x:f>
        <x:v>1</x:v>
      </x:c>
      <x:c r="M38" s="127"/>
    </x:row>
    <x:row r="39" ht="11.25" customHeight="1">
      <x:c r="A39" s="120" t="str">
        <x:f>'Basic info'!A17</x:f>
        <x:v>Fornitori esterni non adeguatamente qualificati</x:v>
      </x:c>
      <x:c r="B39" s="125" t="n">
        <x:v>16</x:v>
      </x:c>
      <x:c r="C39" s="121" t="str">
        <x:v>R</x:v>
      </x:c>
      <x:c r="D39" s="182" t="n">
        <x:f>IF(ISNUMBER('Basic info'!C17),'Basic info'!C17,"")</x:f>
        <x:v>16</x:v>
      </x:c>
      <x:c r="E39" s="183"/>
      <x:c r="F39" s="184"/>
      <x:c r="G39" s="129" t="n">
        <x:f>'Basic info'!B17</x:f>
        <x:v>64</x:v>
      </x:c>
      <x:c r="H39" s="134" t="str">
        <x:v>Mitigare il rischio</x:v>
      </x:c>
      <x:c r="I39" s="136" t="str">
        <x:v>OP 04/26</x:v>
      </x:c>
      <x:c r="J39" s="120" t="str">
        <x:v>DID / AMM</x:v>
      </x:c>
      <x:c r="K39" s="138" t="str">
        <x:v>Gestito</x:v>
      </x:c>
      <x:c r="L39" s="145" t="n">
        <x:f t="shared" si="0">IF(K39="Gestito",1,IF(K39="In Programma",0.5,0))</x:f>
        <x:v>1</x:v>
      </x:c>
      <x:c r="M39" s="127"/>
    </x:row>
    <x:row r="40" ht="11.25" customHeight="1">
      <x:c r="A40" s="120" t="str">
        <x:f>'Basic info'!A18</x:f>
        <x:v>Documenti SGQ e modulistica non aggiornati</x:v>
      </x:c>
      <x:c r="B40" s="125" t="n">
        <x:v>17</x:v>
      </x:c>
      <x:c r="C40" s="121" t="str">
        <x:v>R</x:v>
      </x:c>
      <x:c r="D40" s="198" t="n">
        <x:f>IF(ISNUMBER('Basic info'!C18),'Basic info'!C18,"")</x:f>
        <x:v>32</x:v>
      </x:c>
      <x:c r="E40" s="199"/>
      <x:c r="F40" s="200"/>
      <x:c r="G40" s="129" t="n">
        <x:f>'Basic info'!B18</x:f>
        <x:v>96</x:v>
      </x:c>
      <x:c r="H40" s="134" t="str">
        <x:v>Mitigare il rischio</x:v>
      </x:c>
      <x:c r="I40" s="135" t="str">
        <x:v>AC 13/26</x:v>
      </x:c>
      <x:c r="J40" s="120" t="str">
        <x:v>QUAL</x:v>
      </x:c>
      <x:c r="K40" s="120" t="str">
        <x:v>Gestito</x:v>
      </x:c>
      <x:c r="L40" s="145" t="n">
        <x:f t="shared" si="0">IF(K40="Gestito",1,IF(K40="In Programma",0.5,0))</x:f>
        <x:v>1</x:v>
      </x:c>
      <x:c r="M40" s="127"/>
    </x:row>
    <x:row r="41" ht="12" customHeight="1">
      <x:c r="A41" s="120" t="str">
        <x:f>'Basic info'!A19</x:f>
        <x:v>Mancato aggiornamento normativo e di accreditamento</x:v>
      </x:c>
      <x:c r="B41" s="125" t="n">
        <x:v>18</x:v>
      </x:c>
      <x:c r="C41" s="121" t="str">
        <x:v>R</x:v>
      </x:c>
      <x:c r="D41" s="182" t="str">
        <x:f>IF(ISNUMBER('Basic info'!C19),'Basic info'!C19,"")</x:f>
      </x:c>
      <x:c r="E41" s="183"/>
      <x:c r="F41" s="184"/>
      <x:c r="G41" s="129" t="n">
        <x:f>'Basic info'!B19</x:f>
        <x:v>100</x:v>
      </x:c>
      <x:c r="H41" s="126" t="str">
        <x:v>Ridurre e monitorare</x:v>
      </x:c>
      <x:c r="I41" s="137" t="str">
        <x:v>OP 05/26</x:v>
      </x:c>
      <x:c r="J41" s="120" t="str">
        <x:v>DIR / QUAL</x:v>
      </x:c>
      <x:c r="K41" s="138" t="str">
        <x:v>In Programma</x:v>
      </x:c>
      <x:c r="L41" s="145" t="n">
        <x:f t="shared" si="0">IF(K41="Gestito",1,IF(K41="In Programma",0.5,0))</x:f>
        <x:v>0.5</x:v>
      </x:c>
      <x:c r="M41" s="127"/>
    </x:row>
    <x:row r="42" ht="12" customHeight="1">
      <x:c r="A42" s="120" t="str">
        <x:f>'Basic info'!A20</x:f>
        <x:v>Sovraccarico o competenze insufficienti del personale interno</x:v>
      </x:c>
      <x:c r="B42" s="125" t="n">
        <x:v>19</x:v>
      </x:c>
      <x:c r="C42" s="121" t="str">
        <x:v>R</x:v>
      </x:c>
      <x:c r="D42" s="201" t="n">
        <x:f>IF(ISNUMBER('Basic info'!C20),'Basic info'!C20,"")</x:f>
        <x:v>32</x:v>
      </x:c>
      <x:c r="E42" s="202"/>
      <x:c r="F42" s="203"/>
      <x:c r="G42" s="129" t="n">
        <x:f>'Basic info'!B20</x:f>
        <x:v>128</x:v>
      </x:c>
      <x:c r="H42" s="126" t="str">
        <x:v>Mitigare il rischio</x:v>
      </x:c>
      <x:c r="I42" s="136" t="str">
        <x:v>OP 06/26</x:v>
      </x:c>
      <x:c r="J42" s="120" t="str">
        <x:v>DIR / QUAL</x:v>
      </x:c>
      <x:c r="K42" s="138" t="str">
        <x:v>Gestito</x:v>
      </x:c>
      <x:c r="L42" s="145" t="n">
        <x:f t="shared" si="0">IF(K42="Gestito",1,IF(K42="In Programma",0.5,0))</x:f>
        <x:v>1</x:v>
      </x:c>
      <x:c r="M42" s="127"/>
    </x:row>
    <x:row r="43" ht="11.25" customHeight="1">
      <x:c r="A43" s="120" t="str">
        <x:f>'Basic info'!A21</x:f>
        <x:v>Interruzione delle attività formative per emergenze</x:v>
      </x:c>
      <x:c r="B43" s="125" t="n">
        <x:v>20</x:v>
      </x:c>
      <x:c r="C43" s="121" t="str">
        <x:v>R</x:v>
      </x:c>
      <x:c r="D43" s="182" t="str">
        <x:f>IF(ISNUMBER('Basic info'!C21),'Basic info'!C21,"")</x:f>
      </x:c>
      <x:c r="E43" s="183"/>
      <x:c r="F43" s="184"/>
      <x:c r="G43" s="129" t="n">
        <x:f>'Basic info'!B21</x:f>
        <x:v>90</x:v>
      </x:c>
      <x:c r="H43" s="126" t="str">
        <x:v>Mitigare il rischio</x:v>
      </x:c>
      <x:c r="I43" s="136" t="str">
        <x:v>OP 07/26</x:v>
      </x:c>
      <x:c r="J43" s="120" t="str">
        <x:v>DIR / DID</x:v>
      </x:c>
      <x:c r="K43" s="138" t="str">
        <x:v>Non Gestito</x:v>
      </x:c>
      <x:c r="L43" s="145" t="n">
        <x:f t="shared" si="0">IF(K43="Gestito",1,IF(K43="In Programma",0.5,0))</x:f>
        <x:v>0</x:v>
      </x:c>
      <x:c r="M43" s="127"/>
    </x:row>
    <x:row r="44" ht="11.25" customHeight="1">
      <x:c r="A44" s="150" t="str">
        <x:v>Sviluppo dell’offerta blended e FAD</x:v>
      </x:c>
      <x:c r="B44" s="151" t="str">
        <x:v>OPP 1</x:v>
      </x:c>
      <x:c r="C44" s="151" t="str">
        <x:v>O</x:v>
      </x:c>
      <x:c r="D44" s="151" t="n">
        <x:v>9</x:v>
      </x:c>
      <x:c r="E44" s="151"/>
      <x:c r="F44" s="151"/>
      <x:c r="G44" s="151" t="n">
        <x:v>12</x:v>
      </x:c>
      <x:c r="H44" s="151" t="str">
        <x:v>Sviluppare l’opportunità</x:v>
      </x:c>
      <x:c r="I44" s="151" t="str">
        <x:v>OPP 01/26</x:v>
      </x:c>
      <x:c r="J44" s="151" t="str">
        <x:v>DIR / DID</x:v>
      </x:c>
      <x:c r="K44" s="152" t="str">
        <x:v>Non Gestito</x:v>
      </x:c>
      <x:c r="L44" s="146" t="n">
        <x:f>IF(K44="Gestito",1,IF(K44="In Programma",0.5,0))</x:f>
        <x:v>0</x:v>
      </x:c>
    </x:row>
    <x:row r="45" ht="12" customHeight="1">
      <x:c r="A45" s="164" t="str">
        <x:v>Accesso a nuovi bandi e fondi interprofessionali</x:v>
      </x:c>
      <x:c r="B45" s="165" t="str">
        <x:v>OPP 2</x:v>
      </x:c>
      <x:c r="C45" s="165" t="str">
        <x:v>O</x:v>
      </x:c>
      <x:c r="D45" s="165" t="n">
        <x:v>12</x:v>
      </x:c>
      <x:c r="E45" s="165"/>
      <x:c r="F45" s="166"/>
      <x:c r="G45" s="164" t="n">
        <x:v>12</x:v>
      </x:c>
      <x:c r="H45" s="166" t="str">
        <x:v>Sviluppare l’opportunità</x:v>
      </x:c>
      <x:c r="I45" s="164" t="str">
        <x:v>OPP 02/26</x:v>
      </x:c>
      <x:c r="J45" s="165" t="str">
        <x:v>DIR / AMM</x:v>
      </x:c>
      <x:c r="K45" s="165" t="str">
        <x:v>Gestito</x:v>
      </x:c>
      <x:c r="L45" s="166" t="n">
        <x:f>IF(K45="Gestito",1,IF(K45="In Programma",0.5,0))</x:f>
        <x:v>1</x:v>
      </x:c>
    </x:row>
    <x:row r="46" ht="11.25" customHeight="1">
      <x:c r="A46" s="153" t="str">
        <x:v>Partnership con imprese, enti e territorio</x:v>
      </x:c>
      <x:c r="B46" s="154" t="str">
        <x:v>OPP 3</x:v>
      </x:c>
      <x:c r="C46" s="154" t="str">
        <x:v>O</x:v>
      </x:c>
      <x:c r="D46" s="154" t="n">
        <x:v>6</x:v>
      </x:c>
      <x:c r="E46" s="154"/>
      <x:c r="F46" s="155"/>
      <x:c r="G46" s="153" t="n">
        <x:v>9</x:v>
      </x:c>
      <x:c r="H46" s="155" t="str">
        <x:v>Sviluppare l’opportunità</x:v>
      </x:c>
      <x:c r="I46" s="153" t="str">
        <x:v>OPP 03/26</x:v>
      </x:c>
      <x:c r="J46" s="154" t="str">
        <x:v>DIR / RDF</x:v>
      </x:c>
      <x:c r="K46" s="154" t="str">
        <x:v>Non Gestito</x:v>
      </x:c>
      <x:c r="L46" s="155" t="n">
        <x:f>IF(K46="Gestito",1,IF(K46="In Programma",0.5,0))</x:f>
        <x:v>0</x:v>
      </x:c>
    </x:row>
    <x:row r="47" ht="11.25" customHeight="1">
      <x:c r="A47" s="153" t="str">
        <x:v>Sviluppo competenze e metodologie innovative dei docenti</x:v>
      </x:c>
      <x:c r="B47" s="154" t="str">
        <x:v>OPP 4</x:v>
      </x:c>
      <x:c r="C47" s="154" t="str">
        <x:v>O</x:v>
      </x:c>
      <x:c r="D47" s="154" t="n">
        <x:v>9</x:v>
      </x:c>
      <x:c r="E47" s="154"/>
      <x:c r="F47" s="155"/>
      <x:c r="G47" s="153" t="n">
        <x:v>12</x:v>
      </x:c>
      <x:c r="H47" s="155" t="str">
        <x:v>Sviluppare l’opportunità</x:v>
      </x:c>
      <x:c r="I47" s="153" t="str">
        <x:v>OPP 04/26</x:v>
      </x:c>
      <x:c r="J47" s="154" t="str">
        <x:v>RDF / RSQ</x:v>
      </x:c>
      <x:c r="K47" s="154" t="str">
        <x:v>Non Gestito</x:v>
      </x:c>
      <x:c r="L47" s="155" t="n">
        <x:f>IF(K47="Gestito",1,IF(K47="In Programma",0.5,0))</x:f>
        <x:v>0</x:v>
      </x:c>
    </x:row>
    <x:row r="48" ht="11.25" customHeight="1">
      <x:c r="A48" s="153"/>
      <x:c r="B48" s="154"/>
      <x:c r="C48" s="154"/>
      <x:c r="D48" s="154"/>
      <x:c r="E48" s="154"/>
      <x:c r="F48" s="155"/>
      <x:c r="G48" s="153"/>
      <x:c r="H48" s="155"/>
      <x:c r="I48" s="153"/>
      <x:c r="J48" s="154"/>
      <x:c r="K48" s="154"/>
      <x:c r="L48" s="155"/>
    </x:row>
    <x:row r="49" ht="46" customHeight="1">
      <x:c r="A49" s="318" t="str">
        <x:v>Rischi: RPN su scala 1–10 (P × G × R). Opportunità: indice potenziale su scala 1–4 (P × beneficio), valutato separatamente. Avanzamento: Gestito = 1; In Programma = 0,5; Non Gestito = 0.</x:v>
      </x:c>
      <x:c r="B49" s="319"/>
      <x:c r="C49" s="319"/>
      <x:c r="D49" s="319"/>
      <x:c r="E49" s="319"/>
      <x:c r="F49" s="320"/>
      <x:c r="G49" s="318"/>
      <x:c r="H49" s="320"/>
      <x:c r="I49" s="321"/>
      <x:c r="J49" s="319"/>
      <x:c r="K49" s="319"/>
      <x:c r="L49" s="320"/>
    </x:row>
    <x:row r="50" ht="11.25" customHeight="1">
      <x:c r="A50" s="153" t="str">
        <x:v>NOME E COGNOME PARTECIPANTI</x:v>
      </x:c>
      <x:c r="B50" s="154"/>
      <x:c r="C50" s="154"/>
      <x:c r="D50" s="154"/>
      <x:c r="E50" s="154"/>
      <x:c r="F50" s="155"/>
      <x:c r="G50" s="153" t="str">
        <x:v>RUOLO</x:v>
      </x:c>
      <x:c r="H50" s="154"/>
      <x:c r="I50" s="144" t="str">
        <x:v>PARERE</x:v>
      </x:c>
      <x:c r="J50" s="140"/>
      <x:c r="K50" s="140"/>
      <x:c r="L50" s="140"/>
    </x:row>
    <x:row r="51" ht="11.25" customHeight="1">
      <x:c r="A51" s="153" t="str">
        <x:v>DOTT.SSA LAURA CIONI</x:v>
      </x:c>
      <x:c r="B51" s="154"/>
      <x:c r="C51" s="154"/>
      <x:c r="D51" s="154"/>
      <x:c r="E51" s="154"/>
      <x:c r="F51" s="155"/>
      <x:c r="G51" s="153" t="str">
        <x:v>DIR</x:v>
      </x:c>
      <x:c r="H51" s="155"/>
      <x:c r="I51" s="156" t="str">
        <x:v>POSITIVO APPROVATO</x:v>
      </x:c>
      <x:c r="J51" s="154"/>
      <x:c r="K51" s="154"/>
      <x:c r="L51" s="155"/>
    </x:row>
    <x:row r="52" ht="12" customHeight="1">
      <x:c r="A52" s="241" t="str">
        <x:v>PER.IND. SIMONE LEANDRINI</x:v>
      </x:c>
      <x:c r="B52" s="242"/>
      <x:c r="C52" s="242"/>
      <x:c r="D52" s="242"/>
      <x:c r="E52" s="242"/>
      <x:c r="F52" s="242"/>
      <x:c r="G52" s="242" t="str">
        <x:v>CONS. ESTERNO</x:v>
      </x:c>
      <x:c r="H52" s="242"/>
      <x:c r="I52" s="242" t="str">
        <x:v>POSITIVO</x:v>
      </x:c>
      <x:c r="J52" s="242"/>
      <x:c r="K52" s="242"/>
      <x:c r="L52" s="159"/>
    </x:row>
    <x:row r="53" ht="11.25" customHeight="1">
      <x:c r="A53" s="160" t="str">
        <x:v>DOTT.SSA ELISA BARBAGLI</x:v>
      </x:c>
      <x:c r="B53" s="161"/>
      <x:c r="C53" s="161"/>
      <x:c r="D53" s="161"/>
      <x:c r="E53" s="161"/>
      <x:c r="F53" s="161"/>
      <x:c r="G53" s="161" t="str">
        <x:v>RDF</x:v>
      </x:c>
      <x:c r="H53" s="161"/>
      <x:c r="I53" s="161" t="str">
        <x:v>POSITIVO</x:v>
      </x:c>
      <x:c r="J53" s="161"/>
      <x:c r="K53" s="161"/>
      <x:c r="L53" s="162"/>
    </x:row>
    <x:row r="54" ht="11.25" customHeight="1">
      <x:c r="A54" s="150"/>
      <x:c r="B54" s="151"/>
      <x:c r="C54" s="151"/>
      <x:c r="D54" s="151"/>
      <x:c r="E54" s="151"/>
      <x:c r="F54" s="151"/>
      <x:c r="G54" s="151"/>
      <x:c r="H54" s="151"/>
      <x:c r="I54" s="151"/>
      <x:c r="J54" s="151"/>
      <x:c r="K54" s="152"/>
    </x:row>
    <x:row r="55" ht="12" customHeight="1">
      <x:c r="A55" s="124"/>
      <x:c r="B55" s="124"/>
      <x:c r="C55" s="124"/>
      <x:c r="D55" s="124"/>
      <x:c r="E55" s="124"/>
      <x:c r="F55" s="122" t="n">
        <x:f t="shared" ref="F55:F81" si="1">IFERROR(D55*E55,"")</x:f>
        <x:v>0</x:v>
      </x:c>
      <x:c r="G55" s="123" t="str">
        <x:f t="shared" ref="G55:G81" si="2">IF(F55=0, "", IF(F55&lt;4, "Basso", IF(F55&lt;9, "Medio", "Alto")))</x:f>
      </x:c>
      <x:c r="H55" s="124"/>
      <x:c r="I55" s="124" t="str">
        <x:v>DATA</x:v>
      </x:c>
      <x:c r="J55" s="124"/>
      <x:c r="K55" s="120"/>
    </x:row>
    <x:row r="56" ht="11.25" customHeight="1">
      <x:c r="A56" s="124"/>
      <x:c r="B56" s="124"/>
      <x:c r="C56" s="124"/>
      <x:c r="D56" s="124"/>
      <x:c r="E56" s="124"/>
      <x:c r="F56" s="122">
        <x:f t="shared" si="1"/>
      </x:c>
      <x:c r="G56" s="123">
        <x:f t="shared" si="2"/>
      </x:c>
      <x:c r="H56" s="124"/>
      <x:c r="I56" s="243" t="n">
        <x:v>46297</x:v>
      </x:c>
      <x:c r="J56" s="124"/>
      <x:c r="K56" s="120"/>
    </x:row>
    <x:row r="57" ht="11.25" customHeight="1">
      <x:c r="A57" s="124"/>
      <x:c r="B57" s="124"/>
      <x:c r="C57" s="124"/>
      <x:c r="D57" s="124"/>
      <x:c r="E57" s="124"/>
      <x:c r="F57" s="122">
        <x:f t="shared" si="1"/>
      </x:c>
      <x:c r="G57" s="123">
        <x:f t="shared" si="2"/>
      </x:c>
      <x:c r="H57" s="124"/>
      <x:c r="I57" s="124"/>
      <x:c r="J57" s="124"/>
      <x:c r="K57" s="120"/>
    </x:row>
    <x:row r="58" ht="11.25" customHeight="1">
      <x:c r="A58" s="244" t="str">
        <x:v>Note: i rischi derivano dalla valutazione dettagliata; le opportunità sono monitorate separatamente. “Gestito” = misura completata e verificata; “In Programma” = misura avviata; “Non Gestito” = da pianificare.</x:v>
      </x:c>
      <x:c r="B58" s="244"/>
      <x:c r="C58" s="244"/>
      <x:c r="D58" s="244"/>
      <x:c r="E58" s="244"/>
      <x:c r="F58" s="245">
        <x:f t="shared" si="1"/>
      </x:c>
      <x:c r="G58" s="246">
        <x:f t="shared" si="2"/>
      </x:c>
      <x:c r="H58" s="244"/>
      <x:c r="I58" s="244"/>
      <x:c r="J58" s="244"/>
      <x:c r="K58" s="246"/>
      <x:c r="L58" s="247"/>
    </x:row>
    <x:row r="59" ht="11.25" customHeight="1">
      <x:c r="A59" s="124"/>
      <x:c r="B59" s="124"/>
      <x:c r="C59" s="124"/>
      <x:c r="D59" s="124"/>
      <x:c r="E59" s="124"/>
      <x:c r="F59" s="122">
        <x:f t="shared" si="1"/>
      </x:c>
      <x:c r="G59" s="123">
        <x:f t="shared" si="2"/>
      </x:c>
      <x:c r="H59" s="124"/>
      <x:c r="I59" s="124"/>
      <x:c r="J59" s="124"/>
      <x:c r="K59" s="120"/>
    </x:row>
    <x:row r="60" ht="12" customHeight="1">
      <x:c r="A60" s="124"/>
      <x:c r="B60" s="124"/>
      <x:c r="C60" s="124"/>
      <x:c r="D60" s="124"/>
      <x:c r="E60" s="124"/>
      <x:c r="F60" s="122">
        <x:f t="shared" si="1"/>
      </x:c>
      <x:c r="G60" s="123">
        <x:f t="shared" si="2"/>
      </x:c>
      <x:c r="H60" s="124"/>
      <x:c r="I60" s="124"/>
      <x:c r="J60" s="124"/>
      <x:c r="K60" s="120"/>
    </x:row>
    <x:row r="61" ht="11.25" customHeight="1">
      <x:c r="A61" s="124"/>
      <x:c r="B61" s="124"/>
      <x:c r="C61" s="124"/>
      <x:c r="D61" s="124"/>
      <x:c r="E61" s="124"/>
      <x:c r="F61" s="122">
        <x:f t="shared" si="1"/>
        <x:v>0</x:v>
      </x:c>
      <x:c r="G61" s="123" t="str">
        <x:f t="shared" si="2"/>
      </x:c>
      <x:c r="H61" s="124"/>
      <x:c r="I61" s="124"/>
      <x:c r="J61" s="124"/>
      <x:c r="K61" s="120"/>
    </x:row>
    <x:row r="62" ht="11.25" customHeight="1">
      <x:c r="A62" s="124"/>
      <x:c r="B62" s="124"/>
      <x:c r="C62" s="124"/>
      <x:c r="D62" s="124"/>
      <x:c r="E62" s="124"/>
      <x:c r="F62" s="122">
        <x:f t="shared" si="1"/>
        <x:v>0</x:v>
      </x:c>
      <x:c r="G62" s="123" t="str">
        <x:f t="shared" si="2"/>
      </x:c>
      <x:c r="H62" s="124"/>
      <x:c r="I62" s="124"/>
      <x:c r="J62" s="124"/>
      <x:c r="K62" s="120"/>
    </x:row>
    <x:row r="63" ht="12" customHeight="1">
      <x:c r="A63" s="124"/>
      <x:c r="B63" s="124"/>
      <x:c r="C63" s="124"/>
      <x:c r="D63" s="124"/>
      <x:c r="E63" s="124"/>
      <x:c r="F63" s="122">
        <x:f t="shared" si="1"/>
        <x:v>0</x:v>
      </x:c>
      <x:c r="G63" s="123" t="str">
        <x:f t="shared" si="2"/>
      </x:c>
      <x:c r="H63" s="124"/>
      <x:c r="I63" s="124"/>
      <x:c r="J63" s="124"/>
      <x:c r="K63" s="120"/>
    </x:row>
    <x:row r="64" ht="11.25" customHeight="1">
      <x:c r="A64" s="124"/>
      <x:c r="B64" s="124"/>
      <x:c r="C64" s="124"/>
      <x:c r="D64" s="124"/>
      <x:c r="E64" s="124"/>
      <x:c r="F64" s="122">
        <x:f t="shared" si="1"/>
        <x:v>0</x:v>
      </x:c>
      <x:c r="G64" s="123" t="str">
        <x:f t="shared" si="2"/>
      </x:c>
      <x:c r="H64" s="124"/>
      <x:c r="I64" s="124"/>
      <x:c r="J64" s="124"/>
      <x:c r="K64" s="120"/>
    </x:row>
    <x:row r="65" ht="12" customHeight="1">
      <x:c r="A65" s="124"/>
      <x:c r="B65" s="124"/>
      <x:c r="C65" s="124"/>
      <x:c r="D65" s="124"/>
      <x:c r="E65" s="124"/>
      <x:c r="F65" s="122">
        <x:f t="shared" si="1"/>
        <x:v>0</x:v>
      </x:c>
      <x:c r="G65" s="123" t="str">
        <x:f t="shared" si="2"/>
      </x:c>
      <x:c r="H65" s="124"/>
      <x:c r="I65" s="124"/>
      <x:c r="J65" s="124"/>
      <x:c r="K65" s="120"/>
    </x:row>
    <x:row r="66" ht="11.25" customHeight="1">
      <x:c r="A66" s="124"/>
      <x:c r="B66" s="124"/>
      <x:c r="C66" s="124"/>
      <x:c r="D66" s="124"/>
      <x:c r="E66" s="124"/>
      <x:c r="F66" s="122">
        <x:f t="shared" si="1"/>
        <x:v>0</x:v>
      </x:c>
      <x:c r="G66" s="123" t="str">
        <x:f t="shared" si="2"/>
      </x:c>
      <x:c r="H66" s="124"/>
      <x:c r="I66" s="124"/>
      <x:c r="J66" s="124"/>
      <x:c r="K66" s="120"/>
    </x:row>
    <x:row r="67" ht="11.25" customHeight="1">
      <x:c r="A67" s="124"/>
      <x:c r="B67" s="124"/>
      <x:c r="C67" s="124"/>
      <x:c r="D67" s="124"/>
      <x:c r="E67" s="124"/>
      <x:c r="F67" s="122">
        <x:f t="shared" si="1"/>
        <x:v>0</x:v>
      </x:c>
      <x:c r="G67" s="123" t="str">
        <x:f t="shared" si="2"/>
      </x:c>
      <x:c r="H67" s="124"/>
      <x:c r="I67" s="124"/>
      <x:c r="J67" s="124"/>
      <x:c r="K67" s="120"/>
    </x:row>
    <x:row r="68" ht="11.25" customHeight="1">
      <x:c r="A68" s="124"/>
      <x:c r="B68" s="124"/>
      <x:c r="C68" s="124"/>
      <x:c r="D68" s="124"/>
      <x:c r="E68" s="124"/>
      <x:c r="F68" s="122">
        <x:f t="shared" si="1"/>
        <x:v>0</x:v>
      </x:c>
      <x:c r="G68" s="123" t="str">
        <x:f t="shared" si="2"/>
      </x:c>
      <x:c r="H68" s="124"/>
      <x:c r="I68" s="124"/>
      <x:c r="J68" s="124"/>
      <x:c r="K68" s="120"/>
    </x:row>
    <x:row r="69" ht="12" customHeight="1">
      <x:c r="A69" s="124"/>
      <x:c r="B69" s="124"/>
      <x:c r="C69" s="124"/>
      <x:c r="D69" s="124"/>
      <x:c r="E69" s="124"/>
      <x:c r="F69" s="122">
        <x:f t="shared" si="1"/>
        <x:v>0</x:v>
      </x:c>
      <x:c r="G69" s="123" t="str">
        <x:f t="shared" si="2"/>
      </x:c>
      <x:c r="H69" s="124"/>
      <x:c r="I69" s="124"/>
      <x:c r="J69" s="124"/>
      <x:c r="K69" s="120"/>
    </x:row>
    <x:row r="70" ht="11.25" customHeight="1">
      <x:c r="A70" s="124"/>
      <x:c r="B70" s="124"/>
      <x:c r="C70" s="124"/>
      <x:c r="D70" s="124"/>
      <x:c r="E70" s="124"/>
      <x:c r="F70" s="122">
        <x:f t="shared" si="1"/>
        <x:v>0</x:v>
      </x:c>
      <x:c r="G70" s="123" t="str">
        <x:f t="shared" si="2"/>
      </x:c>
      <x:c r="H70" s="124"/>
      <x:c r="I70" s="124"/>
      <x:c r="J70" s="124"/>
      <x:c r="K70" s="120"/>
    </x:row>
    <x:row r="71" ht="11.25" customHeight="1">
      <x:c r="A71" s="124"/>
      <x:c r="B71" s="124"/>
      <x:c r="C71" s="124"/>
      <x:c r="D71" s="124"/>
      <x:c r="E71" s="124"/>
      <x:c r="F71" s="122">
        <x:f t="shared" si="1"/>
        <x:v>0</x:v>
      </x:c>
      <x:c r="G71" s="123" t="str">
        <x:f t="shared" si="2"/>
      </x:c>
      <x:c r="H71" s="124"/>
      <x:c r="I71" s="124"/>
      <x:c r="J71" s="124"/>
      <x:c r="K71" s="120"/>
    </x:row>
    <x:row r="72" ht="11.25" customHeight="1">
      <x:c r="A72" s="124"/>
      <x:c r="B72" s="124"/>
      <x:c r="C72" s="124"/>
      <x:c r="D72" s="124"/>
      <x:c r="E72" s="124"/>
      <x:c r="F72" s="122">
        <x:f t="shared" si="1"/>
        <x:v>0</x:v>
      </x:c>
      <x:c r="G72" s="123" t="str">
        <x:f t="shared" si="2"/>
      </x:c>
      <x:c r="H72" s="124"/>
      <x:c r="I72" s="124"/>
      <x:c r="J72" s="124"/>
      <x:c r="K72" s="120"/>
    </x:row>
    <x:row r="73" ht="12" customHeight="1">
      <x:c r="A73" s="124"/>
      <x:c r="B73" s="124"/>
      <x:c r="C73" s="124"/>
      <x:c r="D73" s="124"/>
      <x:c r="E73" s="124"/>
      <x:c r="F73" s="122">
        <x:f t="shared" si="1"/>
        <x:v>0</x:v>
      </x:c>
      <x:c r="G73" s="123" t="str">
        <x:f t="shared" si="2"/>
      </x:c>
      <x:c r="H73" s="124"/>
      <x:c r="I73" s="124"/>
      <x:c r="J73" s="124"/>
      <x:c r="K73" s="120"/>
    </x:row>
    <x:row r="74" ht="11.25" customHeight="1">
      <x:c r="A74" s="124"/>
      <x:c r="B74" s="124"/>
      <x:c r="C74" s="124"/>
      <x:c r="D74" s="124"/>
      <x:c r="E74" s="124"/>
      <x:c r="F74" s="122">
        <x:f t="shared" si="1"/>
        <x:v>0</x:v>
      </x:c>
      <x:c r="G74" s="123" t="str">
        <x:f t="shared" si="2"/>
      </x:c>
      <x:c r="H74" s="124"/>
      <x:c r="I74" s="124"/>
      <x:c r="J74" s="124"/>
      <x:c r="K74" s="120"/>
    </x:row>
    <x:row r="75" ht="12" customHeight="1">
      <x:c r="A75" s="124"/>
      <x:c r="B75" s="124"/>
      <x:c r="C75" s="124"/>
      <x:c r="D75" s="124"/>
      <x:c r="E75" s="124"/>
      <x:c r="F75" s="122">
        <x:f t="shared" si="1"/>
        <x:v>0</x:v>
      </x:c>
      <x:c r="G75" s="123" t="str">
        <x:f t="shared" si="2"/>
      </x:c>
      <x:c r="H75" s="124"/>
      <x:c r="I75" s="124"/>
      <x:c r="J75" s="124"/>
      <x:c r="K75" s="120"/>
    </x:row>
    <x:row r="76" ht="11.25" customHeight="1">
      <x:c r="A76" s="124"/>
      <x:c r="B76" s="124"/>
      <x:c r="C76" s="124"/>
      <x:c r="D76" s="124"/>
      <x:c r="E76" s="124"/>
      <x:c r="F76" s="122">
        <x:f t="shared" si="1"/>
        <x:v>0</x:v>
      </x:c>
      <x:c r="G76" s="123" t="str">
        <x:f t="shared" si="2"/>
      </x:c>
      <x:c r="H76" s="124"/>
      <x:c r="I76" s="124"/>
      <x:c r="J76" s="124"/>
      <x:c r="K76" s="120"/>
    </x:row>
    <x:row r="77" ht="11.25" customHeight="1">
      <x:c r="A77" s="124"/>
      <x:c r="B77" s="124"/>
      <x:c r="C77" s="124"/>
      <x:c r="D77" s="124"/>
      <x:c r="E77" s="124"/>
      <x:c r="F77" s="122">
        <x:f t="shared" si="1"/>
        <x:v>0</x:v>
      </x:c>
      <x:c r="G77" s="123" t="str">
        <x:f t="shared" si="2"/>
      </x:c>
      <x:c r="H77" s="124"/>
      <x:c r="I77" s="124"/>
      <x:c r="J77" s="124"/>
      <x:c r="K77" s="120"/>
    </x:row>
    <x:row r="78" ht="11.25" customHeight="1">
      <x:c r="A78" s="124"/>
      <x:c r="B78" s="124"/>
      <x:c r="C78" s="124"/>
      <x:c r="D78" s="124"/>
      <x:c r="E78" s="124"/>
      <x:c r="F78" s="122">
        <x:f t="shared" si="1"/>
        <x:v>0</x:v>
      </x:c>
      <x:c r="G78" s="123" t="str">
        <x:f t="shared" si="2"/>
      </x:c>
      <x:c r="H78" s="124"/>
      <x:c r="I78" s="124"/>
      <x:c r="J78" s="124"/>
      <x:c r="K78" s="120"/>
    </x:row>
    <x:row r="79" ht="12" customHeight="1">
      <x:c r="A79" s="124"/>
      <x:c r="B79" s="124"/>
      <x:c r="C79" s="124"/>
      <x:c r="D79" s="124"/>
      <x:c r="E79" s="124"/>
      <x:c r="F79" s="122">
        <x:f t="shared" si="1"/>
        <x:v>0</x:v>
      </x:c>
      <x:c r="G79" s="123" t="str">
        <x:f t="shared" si="2"/>
      </x:c>
      <x:c r="H79" s="124"/>
      <x:c r="I79" s="124"/>
      <x:c r="J79" s="124"/>
      <x:c r="K79" s="120"/>
    </x:row>
    <x:row r="80" ht="11.25" customHeight="1">
      <x:c r="A80" s="124"/>
      <x:c r="B80" s="124"/>
      <x:c r="C80" s="124"/>
      <x:c r="D80" s="124"/>
      <x:c r="E80" s="124"/>
      <x:c r="F80" s="122">
        <x:f t="shared" si="1"/>
        <x:v>0</x:v>
      </x:c>
      <x:c r="G80" s="123" t="str">
        <x:f t="shared" si="2"/>
      </x:c>
      <x:c r="H80" s="124"/>
      <x:c r="I80" s="124"/>
      <x:c r="J80" s="124"/>
      <x:c r="K80" s="120"/>
    </x:row>
    <x:row r="81" ht="11.25" customHeight="1">
      <x:c r="A81" s="124"/>
      <x:c r="B81" s="124"/>
      <x:c r="C81" s="124"/>
      <x:c r="D81" s="124"/>
      <x:c r="E81" s="124"/>
      <x:c r="F81" s="122">
        <x:f t="shared" si="1"/>
        <x:v>0</x:v>
      </x:c>
      <x:c r="G81" s="123" t="str">
        <x:f t="shared" si="2"/>
      </x:c>
      <x:c r="H81" s="124"/>
      <x:c r="I81" s="124"/>
      <x:c r="J81" s="124"/>
      <x:c r="K81" s="120"/>
    </x:row>
  </x:sheetData>
  <x:mergeCells>
    <x:mergeCell ref="I14:J14"/>
    <x:mergeCell ref="D36:F36"/>
    <x:mergeCell ref="D27:F27"/>
    <x:mergeCell ref="D28:F28"/>
    <x:mergeCell ref="D10:F11"/>
    <x:mergeCell ref="G10:G11"/>
    <x:mergeCell ref="D12:F14"/>
    <x:mergeCell ref="G12:G14"/>
    <x:mergeCell ref="D31:F31"/>
    <x:mergeCell ref="D32:F32"/>
    <x:mergeCell ref="D33:F33"/>
    <x:mergeCell ref="D34:F34"/>
    <x:mergeCell ref="D35:F35"/>
    <x:mergeCell ref="D29:F29"/>
    <x:mergeCell ref="D30:F30"/>
    <x:mergeCell ref="D15:G15"/>
    <x:mergeCell ref="D16:G17"/>
    <x:mergeCell ref="I18:J19"/>
    <x:mergeCell ref="K18:K19"/>
    <x:mergeCell ref="D19:G19"/>
    <x:mergeCell ref="D43:F43"/>
    <x:mergeCell ref="D37:F37"/>
    <x:mergeCell ref="D38:F38"/>
    <x:mergeCell ref="D39:F39"/>
    <x:mergeCell ref="D40:F40"/>
    <x:mergeCell ref="D41:F41"/>
    <x:mergeCell ref="D42:F42"/>
    <x:mergeCell ref="G46:H46"/>
    <x:mergeCell ref="I46:L46"/>
    <x:mergeCell ref="A2:H2"/>
    <x:mergeCell ref="I2:K2"/>
    <x:mergeCell ref="I10:K11"/>
    <x:mergeCell ref="I12:J13"/>
    <x:mergeCell ref="K12:K13"/>
    <x:mergeCell ref="A5:K7"/>
    <x:mergeCell ref="D20:G21"/>
    <x:mergeCell ref="I21:J21"/>
    <x:mergeCell ref="D24:F24"/>
    <x:mergeCell ref="D25:F25"/>
    <x:mergeCell ref="D26:F26"/>
    <x:mergeCell ref="D23:F23"/>
    <x:mergeCell ref="I15:J16"/>
    <x:mergeCell ref="K15:K16"/>
    <x:mergeCell ref="A44:K44"/>
    <x:mergeCell ref="A49:F49"/>
    <x:mergeCell ref="G49:H49"/>
    <x:mergeCell ref="I49:L49"/>
    <x:mergeCell ref="A50:F50"/>
    <x:mergeCell ref="G50:H50"/>
    <x:mergeCell ref="A47:F47"/>
    <x:mergeCell ref="G47:H47"/>
    <x:mergeCell ref="I47:L47"/>
    <x:mergeCell ref="A48:F48"/>
    <x:mergeCell ref="G48:H48"/>
    <x:mergeCell ref="I48:L48"/>
    <x:mergeCell ref="A45:F45"/>
    <x:mergeCell ref="G45:H45"/>
    <x:mergeCell ref="I45:L45"/>
    <x:mergeCell ref="A46:F46"/>
    <x:mergeCell ref="A54:K54"/>
    <x:mergeCell ref="A51:F51"/>
    <x:mergeCell ref="G51:H51"/>
    <x:mergeCell ref="I51:L51"/>
    <x:mergeCell ref="A52:L53"/>
    <x:mergeCell ref="A49:L49"/>
  </x:mergeCells>
  <x:conditionalFormatting sqref="D16:G17">
    <x:cfRule type="containsText" dxfId="7" priority="7" operator="containsText" text="RISCHIO">
      <x:formula>NOT(ISERROR(SEARCH("RISCHIO",D16)))</x:formula>
    </x:cfRule>
  </x:conditionalFormatting>
  <x:conditionalFormatting sqref="D20:G21">
    <x:cfRule type="containsText" dxfId="6" priority="6" operator="containsText" text="OPPORTUNITA'">
      <x:formula>NOT(ISERROR(SEARCH("OPPORTUNITA'",D20)))</x:formula>
    </x:cfRule>
    <x:cfRule type="containsText" dxfId="5" priority="8" operator="containsText" text="RISCHIO">
      <x:formula>NOT(ISERROR(SEARCH("RISCHIO",D20)))</x:formula>
    </x:cfRule>
  </x:conditionalFormatting>
  <x:conditionalFormatting sqref="G24:G43">
    <x:cfRule type="cellIs" dxfId="4" priority="1" operator="greaterThan">
      <x:formula>74</x:formula>
    </x:cfRule>
    <x:cfRule type="cellIs" dxfId="3" priority="2" operator="between">
      <x:formula>50</x:formula>
      <x:formula>74</x:formula>
    </x:cfRule>
    <x:cfRule type="cellIs" dxfId="2" priority="3" operator="lessThanOrEqual">
      <x:formula>49</x:formula>
    </x:cfRule>
  </x:conditionalFormatting>
  <x:conditionalFormatting sqref="K12:K14">
    <x:cfRule type="containsText" dxfId="1" priority="4" operator="containsText" text="NON RAGGIUNTO">
      <x:formula>NOT(ISERROR(SEARCH("NON RAGGIUNTO",K12)))</x:formula>
    </x:cfRule>
    <x:cfRule type="containsText" dxfId="0" priority="5" operator="containsText" text="RAGGIUNTO">
      <x:formula>NOT(ISERROR(SEARCH("RAGGIUNTO",K12)))</x:formula>
    </x:cfRule>
  </x:conditionalFormatting>
  <x:dataValidations count="6">
    <x:dataValidation type="list" allowBlank="1" showInputMessage="1" showErrorMessage="1" sqref="E45:E53">
      <x:formula1>"1,2,3,4"</x:formula1>
    </x:dataValidation>
    <x:dataValidation type="list" allowBlank="1" showInputMessage="1" showErrorMessage="1" sqref="D45:D53">
      <x:formula1>"1,2,3,4,"</x:formula1>
    </x:dataValidation>
    <x:dataValidation type="list" allowBlank="1" showInputMessage="1" showErrorMessage="1" sqref="K45:K53 K55:K81">
      <x:formula1>"OK, Attesa"</x:formula1>
    </x:dataValidation>
    <x:dataValidation type="list" allowBlank="1" showInputMessage="1" showErrorMessage="1" sqref="H24:H43 H45:H53">
      <x:formula1>"Trasferire il rischio, Evitare il rischio, Mitigare il rischio, Accettare il rischio, Gestire l'opportunità, #"</x:formula1>
    </x:dataValidation>
    <x:dataValidation type="list" allowBlank="1" showInputMessage="1" showErrorMessage="1" sqref="C24:C43 C45:C53">
      <x:formula1>"R,O,#"</x:formula1>
    </x:dataValidation>
    <x:dataValidation type="list" allowBlank="1" showInputMessage="1" showErrorMessage="1" sqref="K24:K43">
      <x:formula1>"Gestito, In Programma, Non Gestito"</x:formula1>
    </x:dataValidation>
  </x:dataValidations>
  <x:pageMargins left="0.7" right="0.7" top="0.75" bottom="0.75" header="0.3" footer="0.3"/>
  <x:drawing xmlns:r="http://schemas.openxmlformats.org/officeDocument/2006/relationships" r:id="Rf8b22a39e9b74d9d"/>
</x:worksheet>
</file>

<file path=xl/worksheets/sheet3.xml><?xml version="1.0" encoding="utf-8"?>
<x:worksheet xmlns:x="http://schemas.openxmlformats.org/spreadsheetml/2006/main">
  <x:sheetFormatPr defaultColWidth="10.42578125" defaultRowHeight="12.75"/>
  <x:cols>
    <x:col min="1" max="1" width="10.42578125" style="1" customWidth="0"/>
    <x:col min="2" max="2" width="52.140625" style="1" customWidth="1"/>
    <x:col min="3" max="3" width="39.42578125" style="1" customWidth="1"/>
    <x:col min="4" max="4" width="23.140625" style="1" customWidth="1"/>
    <x:col min="5" max="16384" width="10.42578125" style="1" customWidth="0"/>
  </x:cols>
  <x:sheetData>
    <x:row r="2" ht="41.099998474121094" customHeight="1">
      <x:c r="B2" s="232" t="s">
        <x:v>36</x:v>
      </x:c>
      <x:c r="C2" s="232"/>
      <x:c r="D2" s="232"/>
    </x:row>
    <x:row r="3" ht="24">
      <x:c r="B3" s="15" t="str">
        <x:v>Probabilità dell’evento</x:v>
      </x:c>
      <x:c r="C3" s="16" t="str">
        <x:v>Criterio valutativo</x:v>
      </x:c>
      <x:c r="D3" s="16" t="s">
        <x:v>37</x:v>
      </x:c>
    </x:row>
    <x:row r="4" ht="24">
      <x:c r="B4" s="238" t="s">
        <x:v>38</x:v>
      </x:c>
      <x:c r="C4" s="233" t="str">
        <x:v>Evento molto frequente o già ricorrente nei corsi/processi analoghi</x:v>
      </x:c>
      <x:c r="D4" s="17">
        <x:v>10</x:v>
      </x:c>
    </x:row>
    <x:row r="5" ht="24">
      <x:c r="B5" s="240"/>
      <x:c r="C5" s="234"/>
      <x:c r="D5" s="18">
        <x:v>9</x:v>
      </x:c>
    </x:row>
    <x:row r="6" ht="24">
      <x:c r="B6" s="238" t="s">
        <x:v>39</x:v>
      </x:c>
      <x:c r="C6" s="233" t="str">
        <x:v>Evento frequente, già riscontrato in condizioni similari</x:v>
      </x:c>
      <x:c r="D6" s="18">
        <x:v>8</x:v>
      </x:c>
    </x:row>
    <x:row r="7" ht="24">
      <x:c r="B7" s="240"/>
      <x:c r="C7" s="234"/>
      <x:c r="D7" s="18">
        <x:v>7</x:v>
      </x:c>
    </x:row>
    <x:row r="8" ht="24">
      <x:c r="B8" s="238" t="s">
        <x:v>40</x:v>
      </x:c>
      <x:c r="C8" s="233" t="str">
        <x:v>Evento occasionale ma plausibile nel periodo di riferimento</x:v>
      </x:c>
      <x:c r="D8" s="19">
        <x:v>6</x:v>
      </x:c>
    </x:row>
    <x:row r="9" ht="24">
      <x:c r="B9" s="239"/>
      <x:c r="C9" s="235"/>
      <x:c r="D9" s="20">
        <x:v>5</x:v>
      </x:c>
    </x:row>
    <x:row r="10" ht="24">
      <x:c r="B10" s="240"/>
      <x:c r="C10" s="234"/>
      <x:c r="D10" s="20">
        <x:v>4</x:v>
      </x:c>
    </x:row>
    <x:row r="11" ht="24">
      <x:c r="B11" s="238" t="s">
        <x:v>41</x:v>
      </x:c>
      <x:c r="C11" s="236" t="str">
        <x:v>Evento raro, con condizioni di accadimento poco frequenti</x:v>
      </x:c>
      <x:c r="D11" s="21">
        <x:v>3</x:v>
      </x:c>
    </x:row>
    <x:row r="12" ht="35.45000076293945" customHeight="1">
      <x:c r="B12" s="240"/>
      <x:c r="C12" s="237"/>
      <x:c r="D12" s="22">
        <x:v>2</x:v>
      </x:c>
    </x:row>
    <x:row r="13" ht="57.75">
      <x:c r="B13" s="34" t="s">
        <x:v>42</x:v>
      </x:c>
      <x:c r="C13" s="35" t="str">
        <x:v>Evento mai riscontrato e con condizioni di accadimento remote</x:v>
      </x:c>
      <x:c r="D13" s="24">
        <x:v>1</x:v>
      </x:c>
    </x:row>
    <x:row r="16" ht="29.100000381469727" customHeight="1">
      <x:c r="B16" s="232" t="s">
        <x:v>43</x:v>
      </x:c>
      <x:c r="C16" s="232"/>
      <x:c r="D16" s="232"/>
    </x:row>
    <x:row r="17" ht="22.5">
      <x:c r="B17" s="15" t="str">
        <x:v>EFFETTO SUL PROCESSO FORMATIVO</x:v>
      </x:c>
      <x:c r="C17" s="16" t="s">
        <x:v>43</x:v>
      </x:c>
      <x:c r="D17" s="16" t="s">
        <x:v>44</x:v>
      </x:c>
    </x:row>
    <x:row r="18" ht="31.5">
      <x:c r="B18" s="23" t="s">
        <x:v>45</x:v>
      </x:c>
      <x:c r="C18" s="25" t="str">
        <x:v>Blocco completo del processo, perdita di requisiti o impatto grave su persone/dati</x:v>
      </x:c>
      <x:c r="D18" s="17">
        <x:v>10</x:v>
      </x:c>
    </x:row>
    <x:row r="19" ht="63">
      <x:c r="B19" s="23" t="s">
        <x:v>46</x:v>
      </x:c>
      <x:c r="C19" s="25" t="str">
        <x:v>Blocco completo con possibilità di preavviso, ma risposta non tempestiva</x:v>
      </x:c>
      <x:c r="D19" s="18">
        <x:v>9</x:v>
      </x:c>
    </x:row>
    <x:row r="20" ht="47.25">
      <x:c r="B20" s="23" t="s">
        <x:v>47</x:v>
      </x:c>
      <x:c r="C20" s="25" t="str">
        <x:v>Impatto molto grave su conformità, finanziamento o reputazione</x:v>
      </x:c>
      <x:c r="D20" s="18">
        <x:v>8</x:v>
      </x:c>
    </x:row>
    <x:row r="21" ht="47.25">
      <x:c r="B21" s="23" t="s">
        <x:v>48</x:v>
      </x:c>
      <x:c r="C21" s="25" t="str">
        <x:v>Interruzione significativa del corso o del servizio</x:v>
      </x:c>
      <x:c r="D21" s="18">
        <x:v>7</x:v>
      </x:c>
    </x:row>
    <x:row r="22" ht="47.25">
      <x:c r="B22" s="23" t="s">
        <x:v>49</x:v>
      </x:c>
      <x:c r="C22" s="25" t="str">
        <x:v>Impatto sul partecipante/committente e sulla sua soddisfazione</x:v>
      </x:c>
      <x:c r="D22" s="19">
        <x:v>6</x:v>
      </x:c>
    </x:row>
    <x:row r="23" ht="31.5">
      <x:c r="B23" s="23" t="s">
        <x:v>50</x:v>
      </x:c>
      <x:c r="C23" s="25" t="str">
        <x:v>Disservizio contenuto e recuperabile senza effetti rilevanti</x:v>
      </x:c>
      <x:c r="D23" s="20">
        <x:v>5</x:v>
      </x:c>
    </x:row>
    <x:row r="24" ht="47.25">
      <x:c r="B24" s="23" t="s">
        <x:v>51</x:v>
      </x:c>
      <x:c r="C24" s="25" t="str">
        <x:v>Effetto interno limitato, utile come segnale di miglioramento</x:v>
      </x:c>
      <x:c r="D24" s="20">
        <x:v>4</x:v>
      </x:c>
    </x:row>
    <x:row r="25" ht="47.25">
      <x:c r="B25" s="23" t="s">
        <x:v>52</x:v>
      </x:c>
      <x:c r="C25" s="25" t="str">
        <x:v>Effetto minore, senza blocco del processo né impatto esterno</x:v>
      </x:c>
      <x:c r="D25" s="21">
        <x:v>3</x:v>
      </x:c>
    </x:row>
    <x:row r="26" ht="31.5">
      <x:c r="B26" s="23" t="s">
        <x:v>53</x:v>
      </x:c>
      <x:c r="C26" s="25" t="str">
        <x:v>Effetto trascurabile, facilmente correggibile</x:v>
      </x:c>
      <x:c r="D26" s="22">
        <x:v>2</x:v>
      </x:c>
    </x:row>
    <x:row r="27" ht="31.5">
      <x:c r="B27" s="23" t="s">
        <x:v>54</x:v>
      </x:c>
      <x:c r="C27" s="25" t="str">
        <x:v>Nessun effetto sul processo o sulle parti interessate</x:v>
      </x:c>
      <x:c r="D27" s="24">
        <x:v>1</x:v>
      </x:c>
    </x:row>
    <x:row r="30" ht="29.100000381469727" customHeight="1">
      <x:c r="B30" s="232" t="s">
        <x:v>55</x:v>
      </x:c>
      <x:c r="C30" s="232"/>
      <x:c r="D30" s="232"/>
    </x:row>
    <x:row r="31" ht="22.5">
      <x:c r="B31" s="15" t="s">
        <x:v>55</x:v>
      </x:c>
      <x:c r="C31" s="16" t="s">
        <x:v>56</x:v>
      </x:c>
      <x:c r="D31" s="16" t="s">
        <x:v>44</x:v>
      </x:c>
    </x:row>
    <x:row r="32" ht="47.25">
      <x:c r="B32" s="23" t="s">
        <x:v>57</x:v>
      </x:c>
      <x:c r="C32" s="25" t="s">
        <x:v>58</x:v>
      </x:c>
      <x:c r="D32" s="17">
        <x:v>10</x:v>
      </x:c>
    </x:row>
    <x:row r="33" ht="47.25">
      <x:c r="B33" s="23" t="s">
        <x:v>59</x:v>
      </x:c>
      <x:c r="C33" s="25" t="s">
        <x:v>60</x:v>
      </x:c>
      <x:c r="D33" s="18">
        <x:v>9</x:v>
      </x:c>
    </x:row>
    <x:row r="34" ht="47.25">
      <x:c r="B34" s="23" t="s">
        <x:v>61</x:v>
      </x:c>
      <x:c r="C34" s="25" t="s">
        <x:v>62</x:v>
      </x:c>
      <x:c r="D34" s="18">
        <x:v>8</x:v>
      </x:c>
    </x:row>
    <x:row r="35" ht="47.25">
      <x:c r="B35" s="23" t="s">
        <x:v>63</x:v>
      </x:c>
      <x:c r="C35" s="25" t="s">
        <x:v>64</x:v>
      </x:c>
      <x:c r="D35" s="18">
        <x:v>7</x:v>
      </x:c>
    </x:row>
    <x:row r="36" ht="47.25">
      <x:c r="B36" s="23" t="s">
        <x:v>65</x:v>
      </x:c>
      <x:c r="C36" s="25" t="s">
        <x:v>66</x:v>
      </x:c>
      <x:c r="D36" s="19">
        <x:v>6</x:v>
      </x:c>
    </x:row>
    <x:row r="37" ht="47.25">
      <x:c r="B37" s="23" t="s">
        <x:v>67</x:v>
      </x:c>
      <x:c r="C37" s="25" t="s">
        <x:v>68</x:v>
      </x:c>
      <x:c r="D37" s="20">
        <x:v>5</x:v>
      </x:c>
    </x:row>
    <x:row r="38" ht="47.25">
      <x:c r="B38" s="23" t="s">
        <x:v>69</x:v>
      </x:c>
      <x:c r="C38" s="25" t="s">
        <x:v>70</x:v>
      </x:c>
      <x:c r="D38" s="20">
        <x:v>4</x:v>
      </x:c>
    </x:row>
    <x:row r="39" ht="47.25">
      <x:c r="B39" s="23" t="s">
        <x:v>71</x:v>
      </x:c>
      <x:c r="C39" s="25" t="s">
        <x:v>72</x:v>
      </x:c>
      <x:c r="D39" s="21">
        <x:v>3</x:v>
      </x:c>
    </x:row>
    <x:row r="40" ht="47.25">
      <x:c r="B40" s="23" t="s">
        <x:v>73</x:v>
      </x:c>
      <x:c r="C40" s="25" t="s">
        <x:v>74</x:v>
      </x:c>
      <x:c r="D40" s="22">
        <x:v>2</x:v>
      </x:c>
    </x:row>
    <x:row r="41" ht="31.5">
      <x:c r="B41" s="23" t="s">
        <x:v>75</x:v>
      </x:c>
      <x:c r="C41" s="25" t="s">
        <x:v>76</x:v>
      </x:c>
      <x:c r="D41" s="24">
        <x:v>1</x:v>
      </x:c>
    </x:row>
  </x:sheetData>
  <x:mergeCells>
    <x:mergeCell ref="B2:D2"/>
    <x:mergeCell ref="B16:D16"/>
    <x:mergeCell ref="B30:D30"/>
    <x:mergeCell ref="C4:C5"/>
    <x:mergeCell ref="C6:C7"/>
    <x:mergeCell ref="C8:C10"/>
    <x:mergeCell ref="C11:C12"/>
    <x:mergeCell ref="B8:B10"/>
    <x:mergeCell ref="B6:B7"/>
    <x:mergeCell ref="B4:B5"/>
    <x:mergeCell ref="B11:B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2.75"/>
  <x:cols>
    <x:col min="1" max="1" width="64" hidden="0" customWidth="1"/>
  </x:cols>
  <x:sheetData>
    <x:row r="1" ht="32" customHeight="1">
      <x:c r="A1" s="247"/>
      <x:c r="B1" s="247"/>
      <x:c r="C1" s="247"/>
    </x:row>
    <x:row r="2" ht="32" customHeight="1">
      <x:c r="A2" s="247" t="str">
        <x:f>'MOD_02_PO_03_VAL RISCHI'!B5</x:f>
        <x:v>Analisi incompleta dei fabbisogni formativi</x:v>
      </x:c>
      <x:c r="B2" s="247" t="n">
        <x:f>'MOD_02_PO_03_VAL RISCHI'!J5</x:f>
        <x:v>128</x:v>
      </x:c>
      <x:c r="C2" s="247" t="n">
        <x:f>IF(ISNUMBER('MOD_02_PO_03_VAL RISCHI'!K5),'MOD_02_PO_03_VAL RISCHI'!K5,"")</x:f>
        <x:v>32</x:v>
      </x:c>
    </x:row>
    <x:row r="3" ht="32" customHeight="1">
      <x:c r="A3" s="247" t="str">
        <x:f>'MOD_02_PO_03_VAL RISCHI'!B10</x:f>
        <x:v>Progettazione didattica non conforme</x:v>
      </x:c>
      <x:c r="B3" s="247" t="n">
        <x:f>'MOD_02_PO_03_VAL RISCHI'!J10</x:f>
        <x:v>108</x:v>
      </x:c>
      <x:c r="C3" s="247" t="n">
        <x:f>IF(ISNUMBER('MOD_02_PO_03_VAL RISCHI'!K10),'MOD_02_PO_03_VAL RISCHI'!K10,"")</x:f>
        <x:v>36</x:v>
      </x:c>
    </x:row>
    <x:row r="4" ht="32" customHeight="1">
      <x:c r="A4" s="247" t="str">
        <x:f>'MOD_02_PO_03_VAL RISCHI'!B14</x:f>
        <x:v>Carenza di docenti qualificati</x:v>
      </x:c>
      <x:c r="B4" s="247" t="n">
        <x:f>'MOD_02_PO_03_VAL RISCHI'!J14</x:f>
        <x:v>96</x:v>
      </x:c>
      <x:c r="C4" s="247" t="n">
        <x:f>IF(ISNUMBER('MOD_02_PO_03_VAL RISCHI'!K14),'MOD_02_PO_03_VAL RISCHI'!K14,"")</x:f>
        <x:v>32</x:v>
      </x:c>
    </x:row>
    <x:row r="5" ht="32" customHeight="1">
      <x:c r="A5" s="247" t="str">
        <x:f>'MOD_02_PO_03_VAL RISCHI'!B17</x:f>
        <x:v>Indisponibilità improvvisa del docente</x:v>
      </x:c>
      <x:c r="B5" s="247" t="n">
        <x:f>'MOD_02_PO_03_VAL RISCHI'!J17</x:f>
        <x:v>63</x:v>
      </x:c>
      <x:c r="C5" s="247" t="n">
        <x:f>IF(ISNUMBER('MOD_02_PO_03_VAL RISCHI'!K17),'MOD_02_PO_03_VAL RISCHI'!K17,"")</x:f>
        <x:v>28</x:v>
      </x:c>
    </x:row>
    <x:row r="6" ht="32" customHeight="1">
      <x:c r="A6" s="247" t="str">
        <x:f>'MOD_02_PO_03_VAL RISCHI'!B20</x:f>
        <x:v>Verifica incompleta dei requisiti degli iscritti</x:v>
      </x:c>
      <x:c r="B6" s="247" t="n">
        <x:f>'MOD_02_PO_03_VAL RISCHI'!J20</x:f>
        <x:v>84</x:v>
      </x:c>
      <x:c r="C6" s="247" t="n">
        <x:f>IF(ISNUMBER('MOD_02_PO_03_VAL RISCHI'!K20),'MOD_02_PO_03_VAL RISCHI'!K20,"")</x:f>
        <x:v>28</x:v>
      </x:c>
    </x:row>
    <x:row r="7" ht="32" customHeight="1">
      <x:c r="A7" s="247" t="str">
        <x:f>'MOD_02_PO_03_VAL RISCHI'!B21</x:f>
        <x:v>Errori nella pianificazione di calendario, aule e risorse</x:v>
      </x:c>
      <x:c r="B7" s="247" t="n">
        <x:f>'MOD_02_PO_03_VAL RISCHI'!J21</x:f>
        <x:v>108</x:v>
      </x:c>
      <x:c r="C7" s="247" t="n">
        <x:f>IF(ISNUMBER('MOD_02_PO_03_VAL RISCHI'!K21),'MOD_02_PO_03_VAL RISCHI'!K21,"")</x:f>
        <x:v>36</x:v>
      </x:c>
    </x:row>
    <x:row r="8" ht="32" customHeight="1">
      <x:c r="A8" s="247" t="str">
        <x:f>'MOD_02_PO_03_VAL RISCHI'!B28</x:f>
        <x:v>Registri presenze e fascicoli corso incompleti</x:v>
      </x:c>
      <x:c r="B8" s="247" t="n">
        <x:f>'MOD_02_PO_03_VAL RISCHI'!J28</x:f>
        <x:v>64</x:v>
      </x:c>
      <x:c r="C8" s="247" t="n">
        <x:f>IF(ISNUMBER('MOD_02_PO_03_VAL RISCHI'!K28),'MOD_02_PO_03_VAL RISCHI'!K28,"")</x:f>
        <x:v>16</x:v>
      </x:c>
    </x:row>
    <x:row r="9" ht="32" customHeight="1">
      <x:c r="A9" s="247" t="str">
        <x:f>'MOD_02_PO_03_VAL RISCHI'!B33</x:f>
        <x:v>Erogazione non coerente con il progetto approvato</x:v>
      </x:c>
      <x:c r="B9" s="247" t="n">
        <x:f>'MOD_02_PO_03_VAL RISCHI'!J33</x:f>
        <x:v>96</x:v>
      </x:c>
      <x:c r="C9" s="247" t="n">
        <x:f>IF(ISNUMBER('MOD_02_PO_03_VAL RISCHI'!K33),'MOD_02_PO_03_VAL RISCHI'!K33,"")</x:f>
        <x:v>32</x:v>
      </x:c>
    </x:row>
    <x:row r="10" ht="32" customHeight="1">
      <x:c r="A10" s="247" t="str">
        <x:f>'MOD_02_PO_03_VAL RISCHI'!B37</x:f>
        <x:v>Malfunzionamento della piattaforma FAD</x:v>
      </x:c>
      <x:c r="B10" s="247" t="n">
        <x:f>'MOD_02_PO_03_VAL RISCHI'!J37</x:f>
        <x:v>112</x:v>
      </x:c>
      <x:c r="C10" s="247" t="n">
        <x:f>IF(ISNUMBER('MOD_02_PO_03_VAL RISCHI'!K37),'MOD_02_PO_03_VAL RISCHI'!K37,"")</x:f>
        <x:v>28</x:v>
      </x:c>
    </x:row>
    <x:row r="11" ht="32" customHeight="1">
      <x:c r="A11" s="247" t="str">
        <x:f>'MOD_02_PO_03_VAL RISCHI'!B40</x:f>
        <x:v>Aule o attrezzature non idonee</x:v>
      </x:c>
      <x:c r="B11" s="247" t="n">
        <x:f>'MOD_02_PO_03_VAL RISCHI'!J40</x:f>
        <x:v>108</x:v>
      </x:c>
      <x:c r="C11" s="247" t="n">
        <x:f>IF(ISNUMBER('MOD_02_PO_03_VAL RISCHI'!K40),'MOD_02_PO_03_VAL RISCHI'!K40,"")</x:f>
        <x:v>36</x:v>
      </x:c>
    </x:row>
    <x:row r="12" ht="32" customHeight="1">
      <x:c r="A12" s="247" t="str">
        <x:f>'MOD_02_PO_03_VAL RISCHI'!B43</x:f>
        <x:v>Valutazione degli apprendimenti non affidabile</x:v>
      </x:c>
      <x:c r="B12" s="247" t="n">
        <x:f>'MOD_02_PO_03_VAL RISCHI'!J43</x:f>
        <x:v>96</x:v>
      </x:c>
      <x:c r="C12" s="247" t="n">
        <x:f>IF(ISNUMBER('MOD_02_PO_03_VAL RISCHI'!K43),'MOD_02_PO_03_VAL RISCHI'!K43,"")</x:f>
        <x:v>32</x:v>
      </x:c>
    </x:row>
    <x:row r="13" ht="32" customHeight="1">
      <x:c r="A13" s="247" t="str">
        <x:f>'MOD_02_PO_03_VAL RISCHI'!B44</x:f>
        <x:v>Reclami e questionari di gradimento non analizzati</x:v>
      </x:c>
      <x:c r="B13" s="247" t="n">
        <x:f>'MOD_02_PO_03_VAL RISCHI'!J44</x:f>
        <x:v>128</x:v>
      </x:c>
      <x:c r="C13" s="247" t="n">
        <x:f>IF(ISNUMBER('MOD_02_PO_03_VAL RISCHI'!K44),'MOD_02_PO_03_VAL RISCHI'!K44,"")</x:f>
        <x:v>32</x:v>
      </x:c>
    </x:row>
    <x:row r="14" ht="32" customHeight="1">
      <x:c r="A14" s="247" t="str">
        <x:f>'MOD_02_PO_03_VAL RISCHI'!B48</x:f>
        <x:v>Indicatori e risultati formativi non monitorati</x:v>
      </x:c>
      <x:c r="B14" s="247" t="n">
        <x:f>'MOD_02_PO_03_VAL RISCHI'!J48</x:f>
        <x:v>120</x:v>
      </x:c>
      <x:c r="C14" s="247" t="n">
        <x:f>IF(ISNUMBER('MOD_02_PO_03_VAL RISCHI'!K48),'MOD_02_PO_03_VAL RISCHI'!K48,"")</x:f>
        <x:v>32</x:v>
      </x:c>
    </x:row>
    <x:row r="15" ht="32" customHeight="1">
      <x:c r="A15" s="247" t="str">
        <x:f>'MOD_02_PO_03_VAL RISCHI'!B51</x:f>
        <x:v>Errori nella rendicontazione dei corsi finanziati</x:v>
      </x:c>
      <x:c r="B15" s="247" t="n">
        <x:f>'MOD_02_PO_03_VAL RISCHI'!J51</x:f>
        <x:v>150</x:v>
      </x:c>
      <x:c r="C15" s="247" t="str">
        <x:f>IF(ISNUMBER('MOD_02_PO_03_VAL RISCHI'!K51),'MOD_02_PO_03_VAL RISCHI'!K51,"")</x:f>
      </x:c>
    </x:row>
    <x:row r="16" ht="32" customHeight="1">
      <x:c r="A16" s="247" t="str">
        <x:f>'MOD_02_PO_03_VAL RISCHI'!B53</x:f>
        <x:v>Violazione dei dati personali di partecipanti e docenti</x:v>
      </x:c>
      <x:c r="B16" s="247" t="n">
        <x:f>'MOD_02_PO_03_VAL RISCHI'!J53</x:f>
        <x:v>150</x:v>
      </x:c>
      <x:c r="C16" s="247" t="n">
        <x:f>IF(ISNUMBER('MOD_02_PO_03_VAL RISCHI'!K53),'MOD_02_PO_03_VAL RISCHI'!K53,"")</x:f>
        <x:v>20</x:v>
      </x:c>
    </x:row>
    <x:row r="17" ht="32" customHeight="1">
      <x:c r="A17" s="247" t="str">
        <x:f>'MOD_02_PO_03_VAL RISCHI'!B57</x:f>
        <x:v>Fornitori esterni non adeguatamente qualificati</x:v>
      </x:c>
      <x:c r="B17" s="247" t="n">
        <x:f>'MOD_02_PO_03_VAL RISCHI'!J57</x:f>
        <x:v>64</x:v>
      </x:c>
      <x:c r="C17" s="247" t="n">
        <x:f>IF(ISNUMBER('MOD_02_PO_03_VAL RISCHI'!K57),'MOD_02_PO_03_VAL RISCHI'!K57,"")</x:f>
        <x:v>16</x:v>
      </x:c>
    </x:row>
    <x:row r="18" ht="32" customHeight="1">
      <x:c r="A18" s="247" t="str">
        <x:f>'MOD_02_PO_03_VAL RISCHI'!B61</x:f>
        <x:v>Documenti SGQ e modulistica non aggiornati</x:v>
      </x:c>
      <x:c r="B18" s="247" t="n">
        <x:f>'MOD_02_PO_03_VAL RISCHI'!J61</x:f>
        <x:v>96</x:v>
      </x:c>
      <x:c r="C18" s="247" t="n">
        <x:f>IF(ISNUMBER('MOD_02_PO_03_VAL RISCHI'!K61),'MOD_02_PO_03_VAL RISCHI'!K61,"")</x:f>
        <x:v>32</x:v>
      </x:c>
    </x:row>
    <x:row r="19" ht="32" customHeight="1">
      <x:c r="A19" s="247" t="str">
        <x:f>'MOD_02_PO_03_VAL RISCHI'!B63</x:f>
        <x:v>Mancato aggiornamento normativo e di accreditamento</x:v>
      </x:c>
      <x:c r="B19" s="247" t="n">
        <x:f>'MOD_02_PO_03_VAL RISCHI'!J63</x:f>
        <x:v>100</x:v>
      </x:c>
      <x:c r="C19" s="247" t="str">
        <x:f>IF(ISNUMBER('MOD_02_PO_03_VAL RISCHI'!K63),'MOD_02_PO_03_VAL RISCHI'!K63,"")</x:f>
      </x:c>
    </x:row>
    <x:row r="20" ht="32" customHeight="1">
      <x:c r="A20" s="247" t="str">
        <x:f>'MOD_02_PO_03_VAL RISCHI'!B67</x:f>
        <x:v>Sovraccarico o competenze insufficienti del personale interno</x:v>
      </x:c>
      <x:c r="B20" s="247" t="n">
        <x:f>'MOD_02_PO_03_VAL RISCHI'!J67</x:f>
        <x:v>128</x:v>
      </x:c>
      <x:c r="C20" s="247" t="n">
        <x:f>IF(ISNUMBER('MOD_02_PO_03_VAL RISCHI'!K67),'MOD_02_PO_03_VAL RISCHI'!K67,"")</x:f>
        <x:v>32</x:v>
      </x:c>
    </x:row>
    <x:row r="21" ht="32" customHeight="1">
      <x:c r="A21" s="247" t="str">
        <x:f>'MOD_02_PO_03_VAL RISCHI'!B71</x:f>
        <x:v>Interruzione delle attività formative per emergenze</x:v>
      </x:c>
      <x:c r="B21" s="247" t="n">
        <x:f>'MOD_02_PO_03_VAL RISCHI'!J71</x:f>
        <x:v>90</x:v>
      </x:c>
      <x:c r="C21" s="247" t="str">
        <x:f>IF(ISNUMBER('MOD_02_PO_03_VAL RISCHI'!K71),'MOD_02_PO_03_VAL RISCHI'!K71,"")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0.42578125" defaultRowHeight="12.75"/>
  <x:cols>
    <x:col min="1" max="1" width="10.42578125" style="1" customWidth="0"/>
    <x:col min="2" max="2" width="58" style="2" hidden="0" customWidth="1"/>
    <x:col min="3" max="3" width="10.42578125" style="1" customWidth="0"/>
    <x:col min="4" max="4" width="32" style="3" hidden="0" customWidth="1"/>
    <x:col min="5" max="16384" width="10.42578125" style="1" customWidth="0"/>
  </x:cols>
  <x:sheetData>
    <x:row r="3" s="4" customFormat="1" ht="44" customHeight="1">
      <x:c r="B3" s="322" t="str">
        <x:v>FATTORI DI RISCHIO — AIFECS</x:v>
      </x:c>
      <x:c r="C3" s="247"/>
      <x:c r="D3" s="323" t="str">
        <x:v>PROCESSO COINVOLTO</x:v>
      </x:c>
    </x:row>
    <x:row r="4">
      <x:c r="B4" s="247"/>
      <x:c r="C4" s="247"/>
      <x:c r="D4" s="324"/>
    </x:row>
    <x:row r="5" ht="25" customHeight="1">
      <x:c r="B5" s="325" t="str">
        <x:v>STRATEGICI E DI CONTESTO</x:v>
      </x:c>
      <x:c r="C5" s="247"/>
      <x:c r="D5" s="324"/>
    </x:row>
    <x:row r="6" ht="44" customHeight="1">
      <x:c r="B6" s="326" t="str">
        <x:v>Analisi incompleta dei fabbisogni formativi</x:v>
      </x:c>
      <x:c r="C6" s="247"/>
      <x:c r="D6" s="324" t="str">
        <x:v>Analisi fabbisogni e commerciale</x:v>
      </x:c>
    </x:row>
    <x:row r="7" ht="44" customHeight="1">
      <x:c r="B7" s="326" t="str">
        <x:v>Progettazione didattica non conforme</x:v>
      </x:c>
      <x:c r="C7" s="247"/>
      <x:c r="D7" s="324" t="str">
        <x:v>Progettazione formativa</x:v>
      </x:c>
    </x:row>
    <x:row r="8" ht="44" customHeight="1">
      <x:c r="B8" s="326" t="str">
        <x:v>Carenza di docenti qualificati</x:v>
      </x:c>
      <x:c r="C8" s="247"/>
      <x:c r="D8" s="324" t="str">
        <x:v>Qualifica e gestione docenti</x:v>
      </x:c>
    </x:row>
    <x:row r="9" ht="44" customHeight="1">
      <x:c r="B9" s="326" t="str">
        <x:v>Indisponibilità improvvisa del docente</x:v>
      </x:c>
      <x:c r="C9" s="247"/>
      <x:c r="D9" s="324" t="str">
        <x:v>Pianificazione ed erogazione</x:v>
      </x:c>
    </x:row>
    <x:row r="10">
      <x:c r="B10" s="247"/>
      <x:c r="C10" s="247"/>
      <x:c r="D10" s="324"/>
    </x:row>
    <x:row r="11" ht="25" customHeight="1">
      <x:c r="B11" s="325" t="str">
        <x:v>ECONOMICO-FINANZIARI</x:v>
      </x:c>
      <x:c r="C11" s="247"/>
      <x:c r="D11" s="324"/>
    </x:row>
    <x:row r="12" ht="44" customHeight="1">
      <x:c r="B12" s="326" t="str">
        <x:v>Verifica incompleta dei requisiti degli iscritti</x:v>
      </x:c>
      <x:c r="C12" s="247"/>
      <x:c r="D12" s="324" t="str">
        <x:v>Iscrizioni e ammissione</x:v>
      </x:c>
    </x:row>
    <x:row r="13" ht="44" customHeight="1">
      <x:c r="B13" s="326" t="str">
        <x:v>Errori nella pianificazione di calendario, aule e risorse</x:v>
      </x:c>
      <x:c r="C13" s="247"/>
      <x:c r="D13" s="324" t="str">
        <x:v>Pianificazione corsi</x:v>
      </x:c>
    </x:row>
    <x:row r="14" ht="44" customHeight="1">
      <x:c r="B14" s="326" t="str">
        <x:v>Registri presenze e fascicoli corso incompleti</x:v>
      </x:c>
      <x:c r="C14" s="247"/>
      <x:c r="D14" s="324" t="str">
        <x:v>Erogazione e archiviazione</x:v>
      </x:c>
    </x:row>
    <x:row r="15">
      <x:c r="B15" s="247"/>
      <x:c r="C15" s="247"/>
      <x:c r="D15" s="324"/>
    </x:row>
    <x:row r="16" ht="25" customHeight="1">
      <x:c r="B16" s="325" t="str">
        <x:v>OPERATIVI E DIDATTICI</x:v>
      </x:c>
      <x:c r="C16" s="247"/>
      <x:c r="D16" s="324"/>
    </x:row>
    <x:row r="17" ht="44" customHeight="1">
      <x:c r="B17" s="326" t="str">
        <x:v>Erogazione non coerente con il progetto approvato</x:v>
      </x:c>
      <x:c r="C17" s="247"/>
      <x:c r="D17" s="324" t="str">
        <x:v>Erogazione formazione</x:v>
      </x:c>
    </x:row>
    <x:row r="18" ht="44" customHeight="1">
      <x:c r="B18" s="326" t="str">
        <x:v>Malfunzionamento della piattaforma FAD</x:v>
      </x:c>
      <x:c r="C18" s="247"/>
      <x:c r="D18" s="324" t="str">
        <x:v>Formazione a distanza</x:v>
      </x:c>
    </x:row>
    <x:row r="19" ht="44" customHeight="1">
      <x:c r="B19" s="326" t="str">
        <x:v>Aule o attrezzature non idonee</x:v>
      </x:c>
      <x:c r="C19" s="247"/>
      <x:c r="D19" s="324" t="str">
        <x:v>Gestione sedi e attrezzature</x:v>
      </x:c>
    </x:row>
    <x:row r="20" ht="44" customHeight="1">
      <x:c r="B20" s="326" t="str">
        <x:v>Valutazione degli apprendimenti non affidabile</x:v>
      </x:c>
      <x:c r="C20" s="247"/>
      <x:c r="D20" s="324" t="str">
        <x:v>Verifiche finali e attestazione</x:v>
      </x:c>
    </x:row>
    <x:row r="21" ht="44" customHeight="1">
      <x:c r="B21" s="326" t="str">
        <x:v>Reclami e questionari di gradimento non analizzati</x:v>
      </x:c>
      <x:c r="C21" s="247"/>
      <x:c r="D21" s="324" t="str">
        <x:v>Soddisfazione e miglioramento</x:v>
      </x:c>
    </x:row>
    <x:row r="22">
      <x:c r="B22" s="247"/>
      <x:c r="C22" s="247"/>
      <x:c r="D22" s="324"/>
    </x:row>
    <x:row r="23" ht="25" customHeight="1">
      <x:c r="B23" s="325" t="str">
        <x:v>TECNOLOGICI, DATI E FORNITORI</x:v>
      </x:c>
      <x:c r="C23" s="247"/>
      <x:c r="D23" s="324"/>
    </x:row>
    <x:row r="24" ht="44" customHeight="1">
      <x:c r="B24" s="326" t="str">
        <x:v>Indicatori e risultati formativi non monitorati</x:v>
      </x:c>
      <x:c r="C24" s="247"/>
      <x:c r="D24" s="324" t="str">
        <x:v>Monitoraggio SGQ</x:v>
      </x:c>
    </x:row>
    <x:row r="25" ht="44" customHeight="1">
      <x:c r="B25" s="326" t="str">
        <x:v>Errori nella rendicontazione dei corsi finanziati</x:v>
      </x:c>
      <x:c r="C25" s="247"/>
      <x:c r="D25" s="324" t="str">
        <x:v>Rendicontazione</x:v>
      </x:c>
    </x:row>
    <x:row r="26" ht="44" customHeight="1">
      <x:c r="B26" s="326" t="str">
        <x:v>Aggiornamento e affidabilità della piattaforma FAD</x:v>
      </x:c>
      <x:c r="C26" s="247"/>
      <x:c r="D26" s="324" t="str">
        <x:v>Formazione a distanza</x:v>
      </x:c>
    </x:row>
    <x:row r="27" ht="44" customHeight="1">
      <x:c r="B27" s="326" t="str">
        <x:v>Disponibilità dei sistemi informativi e backup</x:v>
      </x:c>
      <x:c r="C27" s="247"/>
      <x:c r="D27" s="324" t="str">
        <x:v>Sistemi informativi</x:v>
      </x:c>
    </x:row>
    <x:row r="28" ht="44" customHeight="1">
      <x:c r="B28" s="326" t="str">
        <x:v>Violazione dei dati personali di partecipanti e docenti</x:v>
      </x:c>
      <x:c r="C28" s="247"/>
      <x:c r="D28" s="324" t="str">
        <x:v>Privacy e sistemi informativi</x:v>
      </x:c>
    </x:row>
    <x:row r="29" ht="44" customHeight="1">
      <x:c r="B29" s="326" t="str">
        <x:v>Fornitori esterni non adeguatamente qualificati</x:v>
      </x:c>
      <x:c r="C29" s="247"/>
      <x:c r="D29" s="324" t="str">
        <x:v>Approvvigionamenti</x:v>
      </x:c>
    </x:row>
    <x:row r="30">
      <x:c r="B30" s="247"/>
      <x:c r="C30" s="247"/>
      <x:c r="D30" s="324"/>
    </x:row>
    <x:row r="31" ht="25" customHeight="1">
      <x:c r="B31" s="325" t="str">
        <x:v>DOCUMENTAZIONE E CONFORMITÀ</x:v>
      </x:c>
      <x:c r="C31" s="247"/>
      <x:c r="D31" s="324"/>
    </x:row>
    <x:row r="32" ht="44" customHeight="1">
      <x:c r="B32" s="326" t="str">
        <x:v>Documenti SGQ e modulistica non aggiornati</x:v>
      </x:c>
      <x:c r="C32" s="247"/>
      <x:c r="D32" s="324" t="str">
        <x:v>Gestione documentata</x:v>
      </x:c>
    </x:row>
    <x:row r="33">
      <x:c r="B33" s="247"/>
      <x:c r="C33" s="247"/>
      <x:c r="D33" s="324"/>
    </x:row>
    <x:row r="34" ht="25" customHeight="1">
      <x:c r="B34" s="325" t="str">
        <x:v>RISORSE UMANE E CONTINUITÀ</x:v>
      </x:c>
      <x:c r="C34" s="247"/>
      <x:c r="D34" s="324"/>
    </x:row>
    <x:row r="35" ht="44" customHeight="1">
      <x:c r="B35" s="326" t="str">
        <x:v>Mancato aggiornamento normativo e di accreditamento</x:v>
      </x:c>
      <x:c r="C35" s="247"/>
      <x:c r="D35" s="324" t="str">
        <x:v>Conformità e accreditamento</x:v>
      </x:c>
    </x:row>
    <x:row r="36" ht="44" customHeight="1">
      <x:c r="B36" s="326" t="str">
        <x:v>Sovraccarico o competenze insufficienti del personale interno</x:v>
      </x:c>
      <x:c r="C36" s="247"/>
      <x:c r="D36" s="324" t="str">
        <x:v>Gestione risorse umane</x:v>
      </x:c>
    </x:row>
    <x:row r="37" ht="44" customHeight="1">
      <x:c r="B37" s="326" t="str">
        <x:v>Interruzione delle attività formative per emergenze</x:v>
      </x:c>
      <x:c r="C37" s="247"/>
      <x:c r="D37" s="324" t="str">
        <x:v>Continuità operativa</x:v>
      </x:c>
    </x:row>
    <x:row r="38" ht="44" customHeight="1">
      <x:c r="B38" s="326" t="str">
        <x:v>Turnover delle figure chiave</x:v>
      </x:c>
      <x:c r="C38" s="247"/>
      <x:c r="D38" s="324" t="str">
        <x:v>Gestione risorse umane</x:v>
      </x:c>
    </x:row>
  </x:sheetData>
  <x:pageMargins left="0.7" right="0.7" top="0.75" bottom="0.75" header="0.3" footer="0.3"/>
</x:worksheet>
</file>