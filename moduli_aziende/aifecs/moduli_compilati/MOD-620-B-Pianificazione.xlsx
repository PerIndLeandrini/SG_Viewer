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simoneleandrini\Documents\GitHub\SG_Viewer\moduli_aziende\aifecs\moduli_compilati\"/>
    </mc:Choice>
  </mc:AlternateContent>
  <xr:revisionPtr revIDLastSave="0" documentId="13_ncr:1_{4AFB98D6-9595-4B30-B02B-2687470630DF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6" i="1" l="1"/>
  <c r="G7" i="1"/>
  <c r="G5" i="1"/>
  <c r="G20" i="1"/>
  <c r="G19" i="1"/>
  <c r="G18" i="1"/>
  <c r="G17" i="1"/>
  <c r="G16" i="1"/>
  <c r="G15" i="1"/>
  <c r="G14" i="1"/>
  <c r="G13" i="1"/>
  <c r="G12" i="1"/>
  <c r="G11" i="1"/>
  <c r="G10" i="1"/>
  <c r="G9" i="1"/>
  <c r="G8" i="1"/>
  <c r="G4" i="1"/>
  <c r="G3" i="1"/>
  <c r="G2" i="1"/>
</calcChain>
</file>

<file path=xl/sharedStrings.xml><?xml version="1.0" encoding="utf-8"?>
<sst xmlns="http://schemas.openxmlformats.org/spreadsheetml/2006/main" count="56" uniqueCount="49">
  <si>
    <t>Obiettivo</t>
  </si>
  <si>
    <t>Descrizione</t>
  </si>
  <si>
    <t>Processo/Funzione</t>
  </si>
  <si>
    <t>Responsabile</t>
  </si>
  <si>
    <t>Risorse</t>
  </si>
  <si>
    <t>Scadenza</t>
  </si>
  <si>
    <t>Giorni alla scadenza</t>
  </si>
  <si>
    <t>Check</t>
  </si>
  <si>
    <t>Attestazione</t>
  </si>
  <si>
    <t>Qualifica docenti</t>
  </si>
  <si>
    <t>100% docenti incaricati con dossier verificato.</t>
  </si>
  <si>
    <t>Docenza</t>
  </si>
  <si>
    <t>DID</t>
  </si>
  <si>
    <t>Dossier qualificazione</t>
  </si>
  <si>
    <t>Controllo centri</t>
  </si>
  <si>
    <t>riesame annuale dei centri attivi secondo il piano annuale.</t>
  </si>
  <si>
    <t>Gestione rete</t>
  </si>
  <si>
    <t>SOC / QUAL</t>
  </si>
  <si>
    <t>Checklist e campionamento</t>
  </si>
  <si>
    <t>Soddisfazione partecipanti</t>
  </si>
  <si>
    <t>media almeno 4/5; rilevare anche tasso di risposta.</t>
  </si>
  <si>
    <t>Soddisfazione</t>
  </si>
  <si>
    <t>QUAL / SEG</t>
  </si>
  <si>
    <t>Questionario e analisi</t>
  </si>
  <si>
    <t>Soddisfazione soci e centri</t>
  </si>
  <si>
    <t>Definire baseline e target dopo la prima rilevazione.</t>
  </si>
  <si>
    <t>Servizio ai soci</t>
  </si>
  <si>
    <t>Rilevazione dedicata</t>
  </si>
  <si>
    <t>Tempi di attestazione</t>
  </si>
  <si>
    <t>Concordare tempo standard dalla completezza del fascicolo. Misurare percentuale nei tempi.</t>
  </si>
  <si>
    <t>SEG / DIR</t>
  </si>
  <si>
    <t>Risorse e tracciamento</t>
  </si>
  <si>
    <t>Gestione reclami</t>
  </si>
  <si>
    <t>Definire tempi di presa in carico e risposta; monitorare rispetto e recidive.</t>
  </si>
  <si>
    <t>Miglioramento</t>
  </si>
  <si>
    <t>QUAL / SOC</t>
  </si>
  <si>
    <t>Registro reclami</t>
  </si>
  <si>
    <t>Continuità digitale</t>
  </si>
  <si>
    <t>Definire livello atteso per piattaforme e tempi di ripristino con il fornitore.</t>
  </si>
  <si>
    <t>Piattaforme</t>
  </si>
  <si>
    <t>IT / DIR</t>
  </si>
  <si>
    <t>Accordi e prove ripristino</t>
  </si>
  <si>
    <t>Competenze interne</t>
  </si>
  <si>
    <t>attuare il piano approvato e verificare l’efficacia delle azioni prioritarie.</t>
  </si>
  <si>
    <t>Competenze</t>
  </si>
  <si>
    <t>DIR / DID</t>
  </si>
  <si>
    <t>Piano e verifiche</t>
  </si>
  <si>
    <t>OK</t>
  </si>
  <si>
    <t>IN CORSO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</si>
</sst>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</font>
    <font>
      <b/>
      <sz val="11"/>
      <color theme="1"/>
      <name val="Calibri"/>
      <family val="2"/>
    </font>
    <font>
      <sz val="11"/>
      <color theme="1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0">
    <xf numFmtId="0" fontId="0" fillId="0" borderId="0" xfId="0"/>
    <xf numFmtId="14" fontId="0" fillId="0" borderId="0" xfId="0" applyNumberFormat="1"/>
    <xf numFmtId="0" fontId="2" fillId="0" borderId="0" xfId="0" applyFont="1"/>
    <xf numFmtId="0" fontId="1" fillId="0" borderId="1" xfId="0" applyFont="1" applyBorder="1" applyAlignment="1">
      <alignment horizontal="center" vertical="top" wrapText="1"/>
    </xf>
    <xf numFmtId="0" fontId="0" fillId="0" borderId="0" xfId="0" applyAlignment="1">
      <alignment vertical="top" wrapText="1"/>
    </xf>
    <xf numFmtId="1" fontId="0" fillId="0" borderId="0" xfId="0" applyNumberFormat="1" applyAlignment="1">
      <alignment vertical="top" wrapText="1"/>
    </xf>
    <xf numFmtId="14" fontId="0" fillId="0" borderId="0" xfId="0" applyNumberFormat="1" applyAlignment="1">
      <alignment vertical="top" wrapText="1"/>
    </xf>
    <xf numFmtId="1" fontId="0" fillId="0" borderId="0" xfId="0" applyNumberFormat="1"/>
    <xf numFmtId="14" fontId="2" fillId="0" borderId="0" xfId="0" applyNumberFormat="1" applyFont="1" applyAlignment="1">
      <alignment vertical="top" wrapText="1"/>
    </xf>
    <xf numFmtId="0" fontId="2" fillId="0" borderId="0" xfId="0" applyFont="1" applyAlignment="1">
      <alignment vertical="top" wrapText="1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0"/>
  <sheetViews>
    <sheetView tabSelected="1" workbookViewId="0">
      <selection activeCell="F2" sqref="F2"/>
    </sheetView>
  </sheetViews>
  <sheetFormatPr defaultRowHeight="15" x14ac:dyDescent="0.25"/>
  <cols>
    <col min="1" max="2" width="48" customWidth="1"/>
    <col min="3" max="5" width="30" customWidth="1"/>
    <col min="6" max="8" width="18" customWidth="1"/>
  </cols>
  <sheetData>
    <row r="1" spans="1:8" ht="50.1" customHeight="1" x14ac:dyDescent="0.25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</row>
    <row r="2" spans="1:8" ht="50.1" customHeight="1" x14ac:dyDescent="0.25">
      <c r="A2" s="4" t="s">
        <v>9</v>
      </c>
      <c r="B2" s="4" t="s">
        <v>10</v>
      </c>
      <c r="C2" s="4" t="s">
        <v>11</v>
      </c>
      <c r="D2" s="4" t="s">
        <v>12</v>
      </c>
      <c r="E2" s="4" t="s">
        <v>13</v>
      </c>
      <c r="F2" s="8">
        <v>46174</v>
      </c>
      <c r="G2" s="5">
        <f t="shared" ref="G2:G13" ca="1" si="0">IF(AND(ISNUMBER(F2),F2&gt;0),F2-TODAY(),"")</f>
        <v>-126</v>
      </c>
      <c r="H2" s="9" t="s">
        <v>47</v>
      </c>
    </row>
    <row r="3" spans="1:8" ht="50.1" customHeight="1" x14ac:dyDescent="0.25">
      <c r="A3" s="4" t="s">
        <v>14</v>
      </c>
      <c r="B3" s="4" t="s">
        <v>15</v>
      </c>
      <c r="C3" s="4" t="s">
        <v>16</v>
      </c>
      <c r="D3" s="4" t="s">
        <v>17</v>
      </c>
      <c r="E3" s="4" t="s">
        <v>18</v>
      </c>
      <c r="F3" s="6">
        <v>46387</v>
      </c>
      <c r="G3" s="5">
        <f t="shared" ca="1" si="0"/>
        <v>87</v>
      </c>
      <c r="H3" s="9" t="s">
        <v>48</v>
      </c>
    </row>
    <row r="4" spans="1:8" ht="50.1" customHeight="1" x14ac:dyDescent="0.25">
      <c r="A4" s="4" t="s">
        <v>19</v>
      </c>
      <c r="B4" s="4" t="s">
        <v>20</v>
      </c>
      <c r="C4" s="4" t="s">
        <v>21</v>
      </c>
      <c r="D4" s="4" t="s">
        <v>22</v>
      </c>
      <c r="E4" s="4" t="s">
        <v>23</v>
      </c>
      <c r="F4" s="6">
        <v>46387</v>
      </c>
      <c r="G4" s="5">
        <f t="shared" ca="1" si="0"/>
        <v>87</v>
      </c>
      <c r="H4" s="9" t="s">
        <v>48</v>
      </c>
    </row>
    <row r="5" spans="1:8" ht="50.1" customHeight="1" x14ac:dyDescent="0.25">
      <c r="A5" s="4" t="s">
        <v>24</v>
      </c>
      <c r="B5" s="4" t="s">
        <v>25</v>
      </c>
      <c r="C5" s="4" t="s">
        <v>26</v>
      </c>
      <c r="D5" s="4" t="s">
        <v>17</v>
      </c>
      <c r="E5" s="4" t="s">
        <v>27</v>
      </c>
      <c r="F5" s="8">
        <v>46174</v>
      </c>
      <c r="G5" s="5">
        <f t="shared" ref="G5:G6" ca="1" si="1">IF(AND(ISNUMBER(F5),F5&gt;0),F5-TODAY(),"")</f>
        <v>-126</v>
      </c>
      <c r="H5" s="9" t="s">
        <v>47</v>
      </c>
    </row>
    <row r="6" spans="1:8" ht="68.099999999999994" customHeight="1" x14ac:dyDescent="0.25">
      <c r="A6" s="4" t="s">
        <v>28</v>
      </c>
      <c r="B6" s="4" t="s">
        <v>29</v>
      </c>
      <c r="C6" s="4" t="s">
        <v>8</v>
      </c>
      <c r="D6" s="4" t="s">
        <v>30</v>
      </c>
      <c r="E6" s="4" t="s">
        <v>31</v>
      </c>
      <c r="F6" s="8">
        <v>46082</v>
      </c>
      <c r="G6" s="5">
        <f t="shared" ca="1" si="1"/>
        <v>-218</v>
      </c>
      <c r="H6" s="9" t="s">
        <v>47</v>
      </c>
    </row>
    <row r="7" spans="1:8" ht="68.099999999999994" customHeight="1" x14ac:dyDescent="0.25">
      <c r="A7" s="4" t="s">
        <v>32</v>
      </c>
      <c r="B7" s="4" t="s">
        <v>33</v>
      </c>
      <c r="C7" s="4" t="s">
        <v>34</v>
      </c>
      <c r="D7" s="4" t="s">
        <v>35</v>
      </c>
      <c r="E7" s="4" t="s">
        <v>36</v>
      </c>
      <c r="F7" s="8">
        <v>46082</v>
      </c>
      <c r="G7" s="5">
        <f t="shared" ref="G7" ca="1" si="2">IF(AND(ISNUMBER(F7),F7&gt;0),F7-TODAY(),"")</f>
        <v>-218</v>
      </c>
      <c r="H7" s="9" t="s">
        <v>47</v>
      </c>
    </row>
    <row r="8" spans="1:8" ht="68.099999999999994" customHeight="1" x14ac:dyDescent="0.25">
      <c r="A8" s="4" t="s">
        <v>37</v>
      </c>
      <c r="B8" s="4" t="s">
        <v>38</v>
      </c>
      <c r="C8" s="4" t="s">
        <v>39</v>
      </c>
      <c r="D8" s="4" t="s">
        <v>40</v>
      </c>
      <c r="E8" s="4" t="s">
        <v>41</v>
      </c>
      <c r="F8" s="8">
        <v>46082</v>
      </c>
      <c r="G8" s="5">
        <f t="shared" ca="1" si="0"/>
        <v>-218</v>
      </c>
      <c r="H8" s="9" t="s">
        <v>47</v>
      </c>
    </row>
    <row r="9" spans="1:8" ht="68.099999999999994" customHeight="1" x14ac:dyDescent="0.25">
      <c r="A9" s="4" t="s">
        <v>42</v>
      </c>
      <c r="B9" s="4" t="s">
        <v>43</v>
      </c>
      <c r="C9" s="4" t="s">
        <v>44</v>
      </c>
      <c r="D9" s="4" t="s">
        <v>45</v>
      </c>
      <c r="E9" s="4" t="s">
        <v>46</v>
      </c>
      <c r="F9" s="6">
        <v>46233</v>
      </c>
      <c r="G9" s="5">
        <f t="shared" ca="1" si="0"/>
        <v>-67</v>
      </c>
      <c r="H9" s="9" t="s">
        <v>47</v>
      </c>
    </row>
    <row r="10" spans="1:8" x14ac:dyDescent="0.25">
      <c r="F10" s="1"/>
      <c r="G10" s="7" t="str">
        <f t="shared" ca="1" si="0"/>
        <v/>
      </c>
    </row>
    <row r="11" spans="1:8" x14ac:dyDescent="0.25">
      <c r="F11" s="1"/>
      <c r="G11" s="7" t="str">
        <f t="shared" ca="1" si="0"/>
        <v/>
      </c>
    </row>
    <row r="12" spans="1:8" x14ac:dyDescent="0.25">
      <c r="F12" s="1"/>
      <c r="G12" s="7" t="str">
        <f t="shared" ca="1" si="0"/>
        <v/>
      </c>
      <c r="H12" s="2"/>
    </row>
    <row r="13" spans="1:8" x14ac:dyDescent="0.25">
      <c r="F13" s="1"/>
      <c r="G13" s="7" t="str">
        <f t="shared" ca="1" si="0"/>
        <v/>
      </c>
    </row>
    <row r="14" spans="1:8" x14ac:dyDescent="0.25">
      <c r="F14" s="1"/>
      <c r="G14" s="7" t="str">
        <f t="shared" ref="G14:G20" ca="1" si="3">IF(AND(ISNUMBER(F14),F14&gt;0),F14-TODAY(),"")</f>
        <v/>
      </c>
    </row>
    <row r="15" spans="1:8" x14ac:dyDescent="0.25">
      <c r="F15" s="1"/>
      <c r="G15" s="7" t="str">
        <f t="shared" ca="1" si="3"/>
        <v/>
      </c>
    </row>
    <row r="16" spans="1:8" x14ac:dyDescent="0.25">
      <c r="F16" s="1"/>
      <c r="G16" s="7" t="str">
        <f t="shared" ca="1" si="3"/>
        <v/>
      </c>
    </row>
    <row r="17" spans="6:7" x14ac:dyDescent="0.25">
      <c r="F17" s="1"/>
      <c r="G17" s="7" t="str">
        <f t="shared" ca="1" si="3"/>
        <v/>
      </c>
    </row>
    <row r="18" spans="6:7" x14ac:dyDescent="0.25">
      <c r="F18" s="1"/>
      <c r="G18" s="7" t="str">
        <f t="shared" ca="1" si="3"/>
        <v/>
      </c>
    </row>
    <row r="19" spans="6:7" x14ac:dyDescent="0.25">
      <c r="F19" s="1"/>
      <c r="G19" s="7" t="str">
        <f t="shared" ca="1" si="3"/>
        <v/>
      </c>
    </row>
    <row r="20" spans="6:7" x14ac:dyDescent="0.25">
      <c r="F20" s="1"/>
      <c r="G20" s="7" t="str">
        <f t="shared" ca="1" si="3"/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Simone Leandrini</cp:lastModifiedBy>
  <dcterms:modified xsi:type="dcterms:W3CDTF">2026-10-05T06:40:05Z</dcterms:modified>
</cp:coreProperties>
</file>