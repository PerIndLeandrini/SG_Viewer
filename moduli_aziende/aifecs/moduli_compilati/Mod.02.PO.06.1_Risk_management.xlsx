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40501e5f2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MANAGEMENT" sheetId="6" r:id="Ra41bb0171e2841ea"/>
  </x:sheets>
  <x:definedNames>
    <x:definedName name="AZIONI">#REF!</x:definedName>
    <x:definedName name="Check">#REF!</x:definedName>
    <x:definedName name="Denaro">#REF!</x:definedName>
  </x:definedNames>
</x:workbook>
</file>

<file path=xl/sharedStrings.xml><?xml version="1.0" encoding="utf-8"?>
<x:sst xmlns:x="http://schemas.openxmlformats.org/spreadsheetml/2006/main">
  <x:si>
    <x:t xml:space="preserve">PERFORMANCE GESTIONE RISCHI E OPPORTUNITA'</x:t>
  </x:si>
  <x:si>
    <x:t xml:space="preserve">RISCHI DA GESTIRE</x:t>
  </x:si>
  <x:si>
    <x:t xml:space="preserve">OPPORTUNITA' DA GESTIRE</x:t>
  </x:si>
  <x:si>
    <x:t xml:space="preserve">INDICE DI ADEGUATEZZA RISCHIO</x:t>
  </x:si>
  <x:si>
    <x:t xml:space="preserve">SCOSTAMENTO MEDIO</x:t>
  </x:si>
  <x:si>
    <x:t xml:space="preserve">INDICE MEDIO DI RISCHIO</x:t>
  </x:si>
  <x:si>
    <x:t xml:space="preserve">INDICE MEDIO OPPORTUNITA'</x:t>
  </x:si>
  <x:si>
    <x:t xml:space="preserve">INDICE DI ADEGUATEZZA</x:t>
  </x:si>
  <x:si>
    <x:t xml:space="preserve">SCOSTAMENTO NELLA GESTIONE DEL RISCHIO</x:t>
  </x:si>
  <x:si>
    <x:t xml:space="preserve">INDICE ADEGUATEZZA OPPORTUNITA'</x:t>
  </x:si>
  <x:si>
    <x:t xml:space="preserve">SCOSTAMENTO NELLA GESTIONE DELL'OPPORTUNITA'</x:t>
  </x:si>
  <x:si>
    <x:t xml:space="preserve">RISCHIO/OPPORTUNITA'</x:t>
  </x:si>
  <x:si>
    <x:t xml:space="preserve">ID VR</x:t>
  </x:si>
  <x:si>
    <x:t xml:space="preserve">R/O</x:t>
  </x:si>
  <x:si>
    <x:t xml:space="preserve">PROB.</x:t>
  </x:si>
  <x:si>
    <x:t xml:space="preserve">CONS.</x:t>
  </x:si>
  <x:si>
    <x:t xml:space="preserve">INDICE</x:t>
  </x:si>
  <x:si>
    <x:t xml:space="preserve">VALUTAZIONE</x:t>
  </x:si>
  <x:si>
    <x:t xml:space="preserve">TRATTAMENTO</x:t>
  </x:si>
  <x:si>
    <x:t xml:space="preserve">AZIONE</x:t>
  </x:si>
  <x:si>
    <x:t xml:space="preserve">RESPONSABILE</x:t>
  </x:si>
  <x:si>
    <x:t xml:space="preserve">CHECK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</x:si>
</x:sst>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0.000"/>
  </x:numFmts>
  <x:fonts count="16">
    <x:font>
      <x:sz val="11"/>
      <x:color theme="1"/>
      <x:name val="Calibri"/>
    </x:font>
    <x:font>
      <x:sz val="11"/>
      <x:color theme="1"/>
      <x:name val="Calibri"/>
    </x:font>
    <x:font>
      <x:b/>
      <x:sz val="8"/>
      <x:color rgb="FF4C3B62"/>
      <x:name val="Calibri"/>
    </x:font>
    <x:font>
      <x:b/>
      <x:sz val="8"/>
      <x:color theme="1"/>
      <x:name val="Calibri"/>
    </x:font>
    <x:font>
      <x:b/>
      <x:sz val="8"/>
      <x:color theme="0"/>
      <x:name val="Calibri"/>
    </x:font>
    <x:font>
      <x:b/>
      <x:sz val="8"/>
      <x:color rgb="FF540850"/>
      <x:name val="Calibri"/>
    </x:font>
    <x:font>
      <x:b/>
      <x:sz val="10"/>
      <x:color rgb="FF540850"/>
      <x:name val="Calibri"/>
    </x:font>
    <x:font>
      <x:b/>
      <x:sz val="9"/>
      <x:color rgb="FF540850"/>
      <x:name val="Calibri"/>
    </x:font>
    <x:font>
      <x:b/>
      <x:sz val="14"/>
      <x:color rgb="FF540850"/>
      <x:name val="Calibri"/>
    </x:font>
    <x:font>
      <x:b/>
      <x:sz val="8"/>
      <x:color rgb="FFC00000"/>
      <x:name val="Calibri"/>
    </x:font>
    <x:font>
      <x:b/>
      <x:sz val="11"/>
      <x:color rgb="FFFA7D00"/>
      <x:name val="Calibri"/>
    </x:font>
    <x:font>
      <x:sz val="10"/>
      <x:name val="Arial"/>
    </x:font>
    <x:font>
      <x:i/>
      <x:sz val="8"/>
      <x:color theme="1"/>
      <x:name val="Calibri"/>
    </x:font>
    <x:font>
      <x:i/>
      <x:sz val="8"/>
      <x:color rgb="FF4C3B62"/>
      <x:name val="Calibri"/>
    </x:font>
    <x:font>
      <x:b/>
      <x:sz val="8"/>
      <x:color rgb="FFFA7D00"/>
      <x:name val="Calibri"/>
    </x:font>
    <x:font>
      <x:sz val="8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E1DBE9"/>
      </x:patternFill>
    </x:fill>
    <x:fill>
      <x:patternFill patternType="solid">
        <x:fgColor theme="0"/>
      </x:patternFill>
    </x:fill>
    <x:fill>
      <x:patternFill patternType="solid">
        <x:fgColor theme="7" tint="0.79998"/>
      </x:patternFill>
    </x:fill>
    <x:fill>
      <x:patternFill patternType="solid">
        <x:fgColor rgb="FF540850"/>
      </x:patternFill>
    </x:fill>
    <x:fill>
      <x:patternFill patternType="solid">
        <x:fgColor rgb="FFF2F2F2"/>
      </x:patternFill>
    </x:fill>
    <x:fill>
      <x:patternFill patternType="solid">
        <x:fgColor rgb="FF00B05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C000"/>
      </x:patternFill>
    </x:fill>
    <x:fill>
      <x:patternFill patternType="solid">
        <x:fgColor theme="0" tint="-0.49998"/>
      </x:patternFill>
    </x:fill>
    <x:fill>
      <x:patternFill patternType="solid">
        <x:fgColor theme="8" tint="0.79998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540850"/>
      </x:left>
      <x:right style="thin">
        <x:color rgb="FF540850"/>
      </x:right>
      <x:top style="thin">
        <x:color rgb="FF540850"/>
      </x:top>
      <x:bottom style="thin">
        <x:color rgb="FF540850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540850"/>
      </x:left>
      <x:right style="thin">
        <x:color rgb="FF540850"/>
      </x:right>
      <x:top style="thin">
        <x:color rgb="FF540850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medium">
        <x:color indexed="64"/>
      </x:left>
      <x:right style="thin">
        <x:color rgb="FF7F7F7F"/>
      </x:right>
      <x:top style="medium">
        <x:color indexed="64"/>
      </x:top>
      <x:bottom style="medium">
        <x:color indexed="64"/>
      </x:bottom>
    </x:border>
    <x:border>
      <x:left style="thin">
        <x:color rgb="FF7F7F7F"/>
      </x:left>
      <x:right style="thin">
        <x:color rgb="FF7F7F7F"/>
      </x:right>
      <x:top style="medium">
        <x:color indexed="64"/>
      </x:top>
      <x:bottom style="medium">
        <x:color indexed="64"/>
      </x:bottom>
    </x:border>
    <x:border>
      <x:left style="thin">
        <x:color rgb="FF7F7F7F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10" fillId="6" borderId="11" applyNumberFormat="0" applyAlignment="0" applyProtection="0"/>
    <x:xf numFmtId="0" fontId="11" fillId="0" borderId="0"/>
  </x:cellStyleXfs>
  <x:cellXfs count="86">
    <x:xf numFmtId="0" fontId="0" fillId="0" borderId="0" xfId="0"/>
    <x:xf numFmtId="0" fontId="3" fillId="3" borderId="0" xfId="0" applyFont="1" applyFill="1"/>
    <x:xf numFmtId="0" fontId="3" fillId="3" borderId="1" xfId="0" applyFont="1" applyFill="1" applyBorder="1" applyAlignment="1">
      <x:alignment horizontal="right" vertical="center"/>
    </x:xf>
    <x:xf numFmtId="0" fontId="4" fillId="3" borderId="0" xfId="0" applyFont="1" applyFill="1"/>
    <x:xf numFmtId="164" fontId="2" fillId="3" borderId="0" xfId="0" applyNumberFormat="1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9" fontId="4" fillId="3" borderId="0" xfId="1" applyFont="1" applyFill="1" applyBorder="1" applyAlignment="1">
      <x:alignment horizontal="center" vertical="center"/>
    </x:xf>
    <x:xf numFmtId="10" fontId="3" fillId="3" borderId="0" xfId="1" applyNumberFormat="1" applyFont="1" applyFill="1" applyBorder="1" applyAlignment="1">
      <x:alignment vertical="center"/>
    </x:xf>
    <x:xf numFmtId="14" fontId="3" fillId="3" borderId="0" xfId="0" applyNumberFormat="1" applyFont="1" applyFill="1"/>
    <x:xf numFmtId="164" fontId="2" fillId="3" borderId="0" xfId="0" applyNumberFormat="1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4" fillId="5" borderId="2" xfId="0" applyFont="1" applyFill="1" applyBorder="1" applyAlignment="1">
      <x:alignment vertical="center"/>
    </x:xf>
    <x:xf numFmtId="0" fontId="4" fillId="5" borderId="2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vertical="center" wrapText="1"/>
    </x:xf>
    <x:xf numFmtId="0" fontId="2" fillId="3" borderId="1" xfId="0" applyFont="1" applyFill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5" fillId="3" borderId="0" xfId="0" applyFont="1" applyFill="1"/>
    <x:xf numFmtId="0" fontId="5" fillId="3" borderId="0" xfId="0" applyFont="1" applyFill="1" applyAlignment="1">
      <x:alignment horizontal="left"/>
    </x:xf>
    <x:xf numFmtId="14" fontId="3" fillId="4" borderId="1" xfId="0" applyNumberFormat="1" applyFont="1" applyFill="1" applyBorder="1" applyAlignment="1">
      <x:alignment horizontal="left"/>
    </x:xf>
    <x:xf numFmtId="164" fontId="5" fillId="3" borderId="0" xfId="0" applyNumberFormat="1" applyFont="1" applyFill="1" applyAlignment="1">
      <x:alignment horizontal="left" vertical="center"/>
    </x:xf>
    <x:xf numFmtId="0" fontId="5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9" fontId="3" fillId="3" borderId="0" xfId="1" applyFont="1" applyFill="1" applyBorder="1" applyAlignment="1">
      <x:alignment vertical="center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vertical="center" wrapText="1"/>
    </x:xf>
    <x:xf numFmtId="9" fontId="3" fillId="2" borderId="1" xfId="1" applyFont="1" applyFill="1" applyBorder="1" applyAlignment="1">
      <x:alignment horizontal="center" vertical="center"/>
    </x:xf>
    <x:xf numFmtId="2" fontId="4" fillId="3" borderId="0" xfId="0" applyNumberFormat="1" applyFont="1" applyFill="1" applyAlignment="1">
      <x:alignment horizontal="center"/>
    </x:xf>
    <x:xf numFmtId="0" fontId="4" fillId="3" borderId="0" xfId="0" applyFont="1" applyFill="1" applyAlignment="1">
      <x:alignment horizontal="center"/>
    </x:xf>
    <x:xf numFmtId="165" fontId="4" fillId="3" borderId="0" xfId="0" applyNumberFormat="1" applyFont="1" applyFill="1" applyAlignment="1">
      <x:alignment horizontal="center"/>
    </x:xf>
    <x:xf numFmtId="0" fontId="3" fillId="3" borderId="1" xfId="0" applyFont="1" applyFill="1" applyBorder="1"/>
    <x:xf numFmtId="0" fontId="4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4" fillId="5" borderId="2" xfId="0" applyFont="1" applyFill="1" applyBorder="1" applyAlignment="1">
      <x:alignment vertical="center"/>
    </x:xf>
    <x:xf numFmtId="0" fontId="4" fillId="5" borderId="2" xfId="0" applyFont="1" applyFill="1" applyBorder="1" applyAlignment="1">
      <x:alignment horizontal="center" vertical="center"/>
    </x:xf>
    <x:xf numFmtId="0" fontId="4" fillId="5" borderId="2" xfId="0" applyFont="1" applyFill="1" applyBorder="1" applyAlignment="1">
      <x:alignment horizontal="center" vertical="center" wrapText="1"/>
    </x:xf>
    <x:xf numFmtId="0" fontId="13" fillId="3" borderId="1" xfId="0" applyFont="1" applyFill="1" applyBorder="1" applyAlignment="1">
      <x:alignment horizontal="left" vertical="center" wrapText="1"/>
    </x:xf>
    <x:xf numFmtId="0" fontId="12" fillId="3" borderId="1" xfId="0" applyFont="1" applyFill="1" applyBorder="1" applyAlignment="1">
      <x:alignment horizontal="left" vertical="center" wrapText="1"/>
    </x:xf>
    <x:xf numFmtId="0" fontId="3" fillId="7" borderId="1" xfId="0" applyFont="1" applyFill="1" applyBorder="1" applyAlignment="1">
      <x:alignment vertical="center" wrapText="1"/>
    </x:xf>
    <x:xf numFmtId="0" fontId="3" fillId="8" borderId="1" xfId="0" applyFont="1" applyFill="1" applyBorder="1" applyAlignment="1">
      <x:alignment vertical="center" wrapText="1"/>
    </x:xf>
    <x:xf numFmtId="0" fontId="3" fillId="9" borderId="1" xfId="0" applyFont="1" applyFill="1" applyBorder="1" applyAlignment="1">
      <x:alignment vertical="center" wrapText="1"/>
    </x:xf>
    <x:xf numFmtId="0" fontId="3" fillId="10" borderId="1" xfId="0" applyFont="1" applyFill="1" applyBorder="1" applyAlignment="1">
      <x:alignment vertical="center" wrapText="1"/>
    </x:xf>
    <x:xf numFmtId="0" fontId="3" fillId="12" borderId="1" xfId="0" applyFont="1" applyFill="1" applyBorder="1" applyAlignment="1">
      <x:alignment vertical="center" wrapText="1"/>
    </x:xf>
    <x:xf numFmtId="0" fontId="2" fillId="12" borderId="1" xfId="0" applyFont="1" applyFill="1" applyBorder="1" applyAlignment="1">
      <x:alignment horizontal="left" vertical="center" wrapText="1"/>
    </x:xf>
    <x:xf numFmtId="0" fontId="3" fillId="12" borderId="1" xfId="0" applyFont="1" applyFill="1" applyBorder="1" applyAlignment="1">
      <x:alignment horizontal="center" vertical="center" wrapText="1"/>
    </x:xf>
    <x:xf numFmtId="0" fontId="3" fillId="12" borderId="1" xfId="0" applyFont="1" applyFill="1" applyBorder="1" applyAlignment="1">
      <x:alignment horizontal="center" vertical="center" wrapText="1"/>
    </x:xf>
    <x:xf numFmtId="0" fontId="3" fillId="12" borderId="1" xfId="0" applyFont="1" applyFill="1" applyBorder="1" applyAlignment="1">
      <x:alignment vertical="center" wrapText="1"/>
    </x:xf>
    <x:xf numFmtId="0" fontId="10" fillId="6" borderId="12" xfId="2" applyBorder="1" applyAlignment="1">
      <x:alignment horizontal="center" vertical="center"/>
    </x:xf>
    <x:xf numFmtId="0" fontId="10" fillId="6" borderId="13" xfId="2" applyBorder="1" applyAlignment="1">
      <x:alignment horizontal="center" vertical="center"/>
    </x:xf>
    <x:xf numFmtId="0" fontId="10" fillId="6" borderId="14" xfId="2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center" vertical="center"/>
    </x:xf>
    <x:xf numFmtId="0" fontId="4" fillId="5" borderId="3" xfId="0" applyFont="1" applyFill="1" applyBorder="1" applyAlignment="1">
      <x:alignment horizontal="center" vertical="center"/>
    </x:xf>
    <x:xf numFmtId="0" fontId="4" fillId="5" borderId="10" xfId="0" applyFont="1" applyFill="1" applyBorder="1" applyAlignment="1">
      <x:alignment horizontal="center" vertical="center"/>
    </x:xf>
    <x:xf numFmtId="0" fontId="4" fillId="3" borderId="0" xfId="0" applyFont="1" applyFill="1" applyAlignment="1">
      <x:alignment horizontal="right" vertical="center"/>
    </x:xf>
    <x:xf numFmtId="0" fontId="4" fillId="3" borderId="0" xfId="0" applyFont="1" applyFill="1" applyAlignment="1">
      <x:alignment horizontal="center" vertical="center"/>
    </x:xf>
    <x:xf numFmtId="9" fontId="3" fillId="2" borderId="3" xfId="0" applyNumberFormat="1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6" fillId="2" borderId="5" xfId="0" applyNumberFormat="1" applyFont="1" applyFill="1" applyBorder="1" applyAlignment="1">
      <x:alignment horizontal="center" vertical="center" wrapText="1"/>
    </x:xf>
    <x:xf numFmtId="164" fontId="6" fillId="2" borderId="6" xfId="0" applyNumberFormat="1" applyFont="1" applyFill="1" applyBorder="1" applyAlignment="1">
      <x:alignment horizontal="center" vertical="center" wrapText="1"/>
    </x:xf>
    <x:xf numFmtId="164" fontId="6" fillId="2" borderId="7" xfId="0" applyNumberFormat="1" applyFont="1" applyFill="1" applyBorder="1" applyAlignment="1">
      <x:alignment horizontal="center" vertical="center" wrapText="1"/>
    </x:xf>
    <x:xf numFmtId="164" fontId="6" fillId="2" borderId="8" xfId="0" applyNumberFormat="1" applyFont="1" applyFill="1" applyBorder="1" applyAlignment="1">
      <x:alignment horizontal="center" vertical="center" wrapText="1"/>
    </x:xf>
    <x:xf numFmtId="164" fontId="6" fillId="2" borderId="9" xfId="0" applyNumberFormat="1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right" vertical="center"/>
    </x:xf>
    <x:xf numFmtId="9" fontId="3" fillId="2" borderId="1" xfId="1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3" fillId="11" borderId="4" xfId="0" applyFont="1" applyFill="1" applyBorder="1" applyAlignment="1">
      <x:alignment horizontal="center" vertical="center" wrapText="1"/>
    </x:xf>
    <x:xf numFmtId="0" fontId="3" fillId="11" borderId="6" xfId="0" applyFont="1" applyFill="1" applyBorder="1" applyAlignment="1">
      <x:alignment horizontal="center" vertical="center" wrapText="1"/>
    </x:xf>
    <x:xf numFmtId="0" fontId="3" fillId="11" borderId="15" xfId="0" applyFont="1" applyFill="1" applyBorder="1" applyAlignment="1">
      <x:alignment horizontal="center" vertical="center" wrapText="1"/>
    </x:xf>
    <x:xf numFmtId="0" fontId="3" fillId="11" borderId="16" xfId="0" applyFont="1" applyFill="1" applyBorder="1" applyAlignment="1">
      <x:alignment horizontal="center" vertical="center" wrapText="1"/>
    </x:xf>
    <x:xf numFmtId="0" fontId="3" fillId="11" borderId="7" xfId="0" applyFont="1" applyFill="1" applyBorder="1" applyAlignment="1">
      <x:alignment horizontal="center" vertical="center" wrapText="1"/>
    </x:xf>
    <x:xf numFmtId="0" fontId="3" fillId="11" borderId="9" xfId="0" applyFont="1" applyFill="1" applyBorder="1" applyAlignment="1">
      <x:alignment horizontal="center" vertical="center" wrapText="1"/>
    </x:xf>
    <x:xf numFmtId="164" fontId="7" fillId="2" borderId="4" xfId="0" applyNumberFormat="1" applyFont="1" applyFill="1" applyBorder="1" applyAlignment="1">
      <x:alignment horizontal="center" vertical="center" wrapText="1"/>
    </x:xf>
    <x:xf numFmtId="164" fontId="7" fillId="2" borderId="5" xfId="0" applyNumberFormat="1" applyFont="1" applyFill="1" applyBorder="1" applyAlignment="1">
      <x:alignment horizontal="center" vertical="center" wrapText="1"/>
    </x:xf>
    <x:xf numFmtId="164" fontId="7" fillId="2" borderId="6" xfId="0" applyNumberFormat="1" applyFont="1" applyFill="1" applyBorder="1" applyAlignment="1">
      <x:alignment horizontal="center" vertical="center" wrapText="1"/>
    </x:xf>
    <x:xf numFmtId="164" fontId="7" fillId="2" borderId="7" xfId="0" applyNumberFormat="1" applyFont="1" applyFill="1" applyBorder="1" applyAlignment="1">
      <x:alignment horizontal="center" vertical="center" wrapText="1"/>
    </x:xf>
    <x:xf numFmtId="164" fontId="7" fillId="2" borderId="8" xfId="0" applyNumberFormat="1" applyFont="1" applyFill="1" applyBorder="1" applyAlignment="1">
      <x:alignment horizontal="center" vertical="center" wrapText="1"/>
    </x:xf>
    <x:xf numFmtId="164" fontId="7" fillId="2" borderId="9" xfId="0" applyNumberFormat="1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</x:cellXfs>
  <x:cellStyles count="4">
    <x:cellStyle name="Calcolo" xfId="2"/>
    <x:cellStyle name="Excel Built-in Normal" xfId="3"/>
    <x:cellStyle name="Normale" xfId="0"/>
    <x:cellStyle name="Percentuale" xfId="1"/>
  </x:cellStyles>
  <x:dxfs count="3">
    <x:dxf>
      <x:font>
        <x:color theme="0"/>
      </x:font>
      <x:fill>
        <x:patternFill>
          <x:bgColor rgb="FFC0000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theme="0"/>
      </x:font>
      <x:fill>
        <x:patternFill>
          <x:bgColor rgb="FFC0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50127ade24903" /><Relationship Type="http://schemas.openxmlformats.org/officeDocument/2006/relationships/theme" Target="/xl/theme/theme1.xml" Id="Rc864ac876f4e44d8" /><Relationship Type="http://schemas.openxmlformats.org/officeDocument/2006/relationships/sharedStrings" Target="/xl/sharedStrings.xml" Id="R1fa0ebe45228462f" /><Relationship Type="http://schemas.openxmlformats.org/officeDocument/2006/relationships/worksheet" Target="/xl/worksheets/sheet1.xml" Id="Ra41bb0171e2841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2c42eae2c747da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00434267926071"/>
          <c:y val="0.10312497462476018"/>
          <c:w val="0.908253717546887"/>
          <c:h val="0.69679633444972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rgbClr val="540850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 u="none">
                    <a:solidFill>
                      <a:srgbClr val="540850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'RISK MANAGEMENT'!$A$10:$A$11</c:f>
              <c:strCache>
                <c:ptCount val="2"/>
                <c:pt idx="0">
                  <c:v>INDICE MEDIO DI RISCHIO</c:v>
                </c:pt>
                <c:pt idx="1">
                  <c:v>INDICE MEDIO OPPORTUNITA'</c:v>
                </c:pt>
              </c:strCache>
            </c:strRef>
          </c:cat>
          <c:val>
            <c:numRef>
              <c:f>'RISK MANAGEMENT'!$B$10:$B$11</c:f>
              <c:numCache>
                <c:formatCode>0.0</c:formatCode>
                <c:ptCount val="2"/>
                <c:pt idx="0">
                  <c:v>4.5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795199"/>
        <c:axId val="631779775"/>
      </c:barChart>
      <c:catAx>
        <c:axId val="50179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1" i="0" u="none">
                <a:solidFill>
                  <a:srgbClr val="540850"/>
                </a:solidFill>
                <a:latin typeface="+mn-lt"/>
                <a:ea typeface="+mn-lt"/>
                <a:cs typeface="+mn-lt"/>
              </a:defRPr>
            </a:pPr>
          </a:p>
        </c:txPr>
        <c:crossAx val="631779775"/>
        <c:crosses val="autoZero"/>
        <c:lblOffset val="100"/>
      </c:catAx>
      <c:valAx>
        <c:axId val="631779775"/>
        <c:scaling>
          <c:orientation val="minMax"/>
        </c:scaling>
        <c:delete val="1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" sourceLinked="1"/>
        <c:majorTickMark val="none"/>
        <c:minorTickMark val="none"/>
        <c:tickLblPos val="nextTo"/>
        <c:crossAx val="501795199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62442</xdr:rowOff>
    </xdr:from>
    <xdr:to>
      <xdr:col>2</xdr:col>
      <xdr:colOff>214313</xdr:colOff>
      <xdr:row>14</xdr:row>
      <xdr:rowOff>136526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2c42eae2c747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7186785b194e6e" /></Relationships>
</file>

<file path=xl/worksheets/sheet1.xml><?xml version="1.0" encoding="utf-8"?>
<x:worksheet xmlns:x="http://schemas.openxmlformats.org/spreadsheetml/2006/main">
  <x:sheetViews>
    <x:sheetView workbookViewId="0">
      <x:pane ySplit="14" topLeftCell="A15" activePane="bottomLeft" state="frozen"/>
    </x:sheetView>
  </x:sheetViews>
  <x:sheetFormatPr defaultColWidth="8.7109375" defaultRowHeight="11.25"/>
  <x:cols>
    <x:col min="1" max="1" width="25.5703125" style="1" customWidth="1"/>
    <x:col min="2" max="2" width="3.5703125" style="1" customWidth="1"/>
    <x:col min="3" max="3" width="3.42578125" style="1" customWidth="1"/>
    <x:col min="4" max="5" width="5" style="1" customWidth="1"/>
    <x:col min="6" max="6" width="6.42578125" style="1" customWidth="1"/>
    <x:col min="7" max="7" width="10.42578125" style="1" customWidth="1"/>
    <x:col min="8" max="8" width="25" style="1" hidden="0" customWidth="1"/>
    <x:col min="9" max="9" width="22.42578125" style="1" customWidth="1"/>
    <x:col min="10" max="10" width="14.85546875" style="1" customWidth="1"/>
    <x:col min="11" max="11" width="10" style="1" customWidth="1"/>
    <x:col min="12" max="16384" width="8.7109375" style="1" customWidth="0"/>
  </x:cols>
  <x:sheetData>
    <x:row r="1" ht="12"/>
    <x:row r="2" ht="18" customHeight="1">
      <x:c r="A2" s="46" t="str">
        <x:v>RISK MANAGEMENT — AIFECS</x:v>
      </x:c>
      <x:c r="B2" s="47"/>
      <x:c r="C2" s="47"/>
      <x:c r="D2" s="47"/>
      <x:c r="E2" s="47"/>
      <x:c r="F2" s="47"/>
      <x:c r="G2" s="47"/>
      <x:c r="H2" s="47"/>
      <x:c r="I2" s="47" t="str">
        <x:v>Mod.02.PO.06.1 rev.02 02/10/2026</x:v>
      </x:c>
      <x:c r="J2" s="47"/>
      <x:c r="K2" s="48"/>
    </x:row>
    <x:row r="3" ht="8.100000381469727" customHeight="1">
      <x:c r="H3" s="3"/>
    </x:row>
    <x:row r="4" ht="11.449999809265137" customHeight="1">
      <x:c r="A4" s="2" t="str">
        <x:v>DATA VALUTAZIONE</x:v>
      </x:c>
      <x:c r="B4" s="18"/>
      <x:c r="D4" s="49" t="str">
        <x:v>OBIETTIVO INDICE ADEGUATEZZA</x:v>
      </x:c>
      <x:c r="E4" s="49"/>
      <x:c r="F4" s="49"/>
      <x:c r="G4" s="50" t="n">
        <x:v>5</x:v>
      </x:c>
      <x:c r="H4" s="30"/>
      <x:c r="I4" s="51" t="s">
        <x:v>0</x:v>
      </x:c>
      <x:c r="J4" s="51"/>
      <x:c r="K4" s="51"/>
    </x:row>
    <x:row r="5" ht="11.100000381469727" customHeight="1">
      <x:c r="A5" s="2" t="str">
        <x:v>02/10/2026</x:v>
      </x:c>
      <x:c r="B5" s="18"/>
      <x:c r="D5" s="49"/>
      <x:c r="E5" s="49"/>
      <x:c r="F5" s="49"/>
      <x:c r="G5" s="50"/>
      <x:c r="H5" s="30"/>
      <x:c r="I5" s="52"/>
      <x:c r="J5" s="52"/>
      <x:c r="K5" s="52"/>
    </x:row>
    <x:row r="6" ht="6.949999809265137" customHeight="1">
      <x:c r="A6" s="16"/>
      <x:c r="B6" s="16"/>
      <x:c r="D6" s="49"/>
      <x:c r="E6" s="49"/>
      <x:c r="F6" s="49"/>
      <x:c r="G6" s="50"/>
      <x:c r="H6" s="30"/>
      <x:c r="I6" s="53" t="str">
        <x:v>STATO DI GESTIONE DELLE AZIONI</x:v>
      </x:c>
      <x:c r="J6" s="53"/>
      <x:c r="K6" s="54"/>
    </x:row>
    <x:row r="7" ht="5.099999904632568" customHeight="1">
      <x:c r="A7" s="16" t="s">
        <x:v>1</x:v>
      </x:c>
      <x:c r="B7" s="17" t="n">
        <x:f>COUNTIFS(C18:C41,"R",K18:K41,"Attesa")</x:f>
        <x:v>4</x:v>
      </x:c>
      <x:c r="C7" s="3"/>
      <x:c r="D7" s="4"/>
      <x:c r="E7" s="4"/>
      <x:c r="F7" s="4"/>
      <x:c r="G7" s="5"/>
      <x:c r="H7" s="30"/>
      <x:c r="I7" s="53"/>
      <x:c r="J7" s="53"/>
      <x:c r="K7" s="54"/>
    </x:row>
    <x:row r="8" ht="4.5" customHeight="1">
      <x:c r="A8" s="16" t="s">
        <x:v>2</x:v>
      </x:c>
      <x:c r="B8" s="17" t="n">
        <x:f>COUNTIFS(C18:C41,"O",K18:K41,"Attesa")</x:f>
        <x:v>3</x:v>
      </x:c>
      <x:c r="C8" s="3"/>
      <x:c r="D8" s="4"/>
      <x:c r="E8" s="4"/>
      <x:c r="F8" s="4"/>
      <x:c r="G8" s="5"/>
      <x:c r="H8" s="30"/>
    </x:row>
    <x:row r="9" ht="13.5" customHeight="1">
      <x:c r="A9" s="16"/>
      <x:c r="B9" s="16"/>
      <x:c r="C9" s="3"/>
      <x:c r="D9" s="65" t="s">
        <x:v>3</x:v>
      </x:c>
      <x:c r="E9" s="65"/>
      <x:c r="F9" s="65"/>
      <x:c r="G9" s="65"/>
      <x:c r="H9" s="30" t="n">
        <x:f>COUNTIFS(K18:K41,"OK",C18:C41,"R")</x:f>
        <x:v>16</x:v>
      </x:c>
      <x:c r="I9" s="78" t="s">
        <x:v>4</x:v>
      </x:c>
      <x:c r="J9" s="78"/>
      <x:c r="K9" s="55" t="str">
        <x:f>IF(COUNT(K12,K15)=2,AVERAGE(K12,K15),"")</x:f>
      </x:c>
    </x:row>
    <x:row r="10" ht="9.949999809265137" customHeight="1">
      <x:c r="A10" s="16" t="s">
        <x:v>5</x:v>
      </x:c>
      <x:c r="B10" s="19" t="n">
        <x:f>IF(COUNTIFS(C18:C41,"R")=0,"",AVERAGEIFS(F18:F41,C18:C41,"R"))</x:f>
        <x:v>6.9</x:v>
      </x:c>
      <x:c r="C10" s="3"/>
      <x:c r="D10" s="57" t="n">
        <x:f>IF(ISNUMBER(H11),IF(H11=1,5,IF(H11&gt;=0.9,4,IF(H11&gt;=0.8,3,IF(H11&gt;=0.7,2,IF(H11&gt;=0.6,1,"RISCHIO FUORI CONTROLLO"))))),"")</x:f>
        <x:v>3</x:v>
      </x:c>
      <x:c r="E10" s="58"/>
      <x:c r="F10" s="58"/>
      <x:c r="G10" s="59"/>
      <x:c r="H10" s="30" t="n">
        <x:f>COUNTIF(C18:C41,"R")</x:f>
        <x:v>20</x:v>
      </x:c>
      <x:c r="I10" s="78"/>
      <x:c r="J10" s="78"/>
      <x:c r="K10" s="56"/>
    </x:row>
    <x:row r="11" ht="9" customHeight="1">
      <x:c r="A11" s="16" t="s">
        <x:v>6</x:v>
      </x:c>
      <x:c r="B11" s="19" t="n">
        <x:f>IF(COUNTIFS(C18:C41,"O")=0,"",AVERAGEIFS(F18:F41,C18:C41,"O"))</x:f>
        <x:v>11.25</x:v>
      </x:c>
      <x:c r="C11" s="3"/>
      <x:c r="D11" s="60"/>
      <x:c r="E11" s="61"/>
      <x:c r="F11" s="61"/>
      <x:c r="G11" s="62"/>
      <x:c r="H11" s="26" t="n">
        <x:f>IF(H10=0,"",H9/H10)</x:f>
        <x:v>0.8</x:v>
      </x:c>
      <x:c r="I11" s="3" t="s">
        <x:v>7</x:v>
      </x:c>
      <x:c r="J11" s="6"/>
      <x:c r="K11" s="3"/>
    </x:row>
    <x:row r="12" ht="3.950000047683716" customHeight="1">
      <x:c r="A12" s="16"/>
      <x:c r="B12" s="16"/>
      <x:c r="C12" s="3"/>
      <x:c r="D12" s="4"/>
      <x:c r="E12" s="4"/>
      <x:c r="F12" s="4"/>
      <x:c r="G12" s="5"/>
      <x:c r="H12" s="3"/>
      <x:c r="I12" s="63" t="s">
        <x:v>8</x:v>
      </x:c>
      <x:c r="J12" s="63"/>
      <x:c r="K12" s="64" t="n">
        <x:f>IF(AND(ISNUMBER(D10),ISNUMBER(G4),G4&gt;0),(G4-D10)/G4,"")</x:f>
        <x:v>0.4</x:v>
      </x:c>
    </x:row>
    <x:row r="13" ht="9.949999809265137" customHeight="1">
      <x:c r="A13" s="16"/>
      <x:c r="B13" s="16"/>
      <x:c r="C13" s="3"/>
      <x:c r="D13" s="65" t="s">
        <x:v>9</x:v>
      </x:c>
      <x:c r="E13" s="65"/>
      <x:c r="F13" s="65"/>
      <x:c r="G13" s="65"/>
      <x:c r="H13" s="30" t="n">
        <x:f>COUNTIFS(K18:K41,"OK",C18:C41,"O")</x:f>
        <x:v>1</x:v>
      </x:c>
      <x:c r="I13" s="63"/>
      <x:c r="J13" s="63"/>
      <x:c r="K13" s="64"/>
    </x:row>
    <x:row r="14" ht="6.949999809265137" customHeight="1">
      <x:c r="A14" s="16" t="s">
        <x:v>3</x:v>
      </x:c>
      <x:c r="B14" s="20" t="str">
        <x:f>IF(ISNUMBER(B10),IF(B10&lt;4,"Basso",IF(B10&lt;9,"Medio","Alto")),"")</x:f>
        <x:v>Medio</x:v>
      </x:c>
      <x:c r="C14" s="3"/>
      <x:c r="D14" s="72" t="str">
        <x:f>IF(ISNUMBER(H15),IF(H15=1,5,IF(H15&gt;=0.9,4,IF(H15&gt;=0.8,3,IF(H15&gt;=0.7,2,IF(H15&gt;=0.6,1,"OPPORTUNITÀ FUORI CONTROLLO"))))),"")</x:f>
        <x:v>OPPORTUNITÀ FUORI CONTROLLO</x:v>
      </x:c>
      <x:c r="E14" s="73"/>
      <x:c r="F14" s="73"/>
      <x:c r="G14" s="74"/>
      <x:c r="H14" s="27" t="n">
        <x:f>COUNTIF(C18:C41,"O")</x:f>
        <x:v>4</x:v>
      </x:c>
      <x:c r="J14" s="7"/>
    </x:row>
    <x:row r="15" ht="12" customHeight="1">
      <x:c r="A15" s="16" t="s">
        <x:v>9</x:v>
      </x:c>
      <x:c r="B15" s="17" t="str">
        <x:f>IF(ISNUMBER(B11),IF(B11&lt;4,"Basso",IF(B11&lt;9,"Medio","Alto")),"")</x:f>
        <x:v>Alto</x:v>
      </x:c>
      <x:c r="C15" s="3"/>
      <x:c r="D15" s="75"/>
      <x:c r="E15" s="76"/>
      <x:c r="F15" s="76"/>
      <x:c r="G15" s="77"/>
      <x:c r="H15" s="28" t="n">
        <x:f>IF(H14=0,"",H13/H14)</x:f>
        <x:v>0.25</x:v>
      </x:c>
      <x:c r="I15" s="63" t="s">
        <x:v>10</x:v>
      </x:c>
      <x:c r="J15" s="63"/>
      <x:c r="K15" s="25" t="str">
        <x:f>IF(AND(ISNUMBER(D14),ISNUMBER(G4),G4&gt;0),(G4-D14)/G4,"")</x:f>
      </x:c>
    </x:row>
    <x:row r="16" ht="6.949999809265137" customHeight="1">
      <x:c r="B16" s="8"/>
      <x:c r="D16" s="9"/>
      <x:c r="E16" s="9"/>
      <x:c r="F16" s="9"/>
      <x:c r="G16" s="10"/>
      <x:c r="H16" s="31"/>
      <x:c r="I16" s="21"/>
      <x:c r="J16" s="21"/>
      <x:c r="K16" s="22"/>
    </x:row>
    <x:row r="17" ht="22.5" customHeight="1">
      <x:c r="A17" s="32" t="s">
        <x:v>11</x:v>
      </x:c>
      <x:c r="B17" s="34" t="s">
        <x:v>12</x:v>
      </x:c>
      <x:c r="C17" s="33" t="s">
        <x:v>13</x:v>
      </x:c>
      <x:c r="D17" s="33" t="s">
        <x:v>14</x:v>
      </x:c>
      <x:c r="E17" s="33" t="s">
        <x:v>15</x:v>
      </x:c>
      <x:c r="F17" s="12" t="s">
        <x:v>16</x:v>
      </x:c>
      <x:c r="G17" s="12" t="s">
        <x:v>17</x:v>
      </x:c>
      <x:c r="H17" s="12" t="s">
        <x:v>18</x:v>
      </x:c>
      <x:c r="I17" s="11" t="s">
        <x:v>19</x:v>
      </x:c>
      <x:c r="J17" s="11" t="s">
        <x:v>20</x:v>
      </x:c>
      <x:c r="K17" s="11" t="s">
        <x:v>21</x:v>
      </x:c>
    </x:row>
    <x:row r="18" ht="34" customHeight="1">
      <x:c r="A18" s="13" t="str">
        <x:v>Analisi incompleta dei fabbisogni formativi</x:v>
      </x:c>
      <x:c r="B18" s="36" t="n">
        <x:v>1</x:v>
      </x:c>
      <x:c r="C18" s="15" t="str">
        <x:v>R</x:v>
      </x:c>
      <x:c r="D18" s="15" t="n">
        <x:v>2</x:v>
      </x:c>
      <x:c r="E18" s="15" t="n">
        <x:v>4</x:v>
      </x:c>
      <x:c r="F18" s="23" t="n">
        <x:f t="shared" ref="F18:F81" si="0">IF(COUNT(D18:E18)=2,D18*E18,"")</x:f>
        <x:v>8</x:v>
      </x:c>
      <x:c r="G18" s="24" t="str">
        <x:f t="shared" ref="G18:G81" si="1">IF(ISNUMBER(F18),IF(F18&lt;4,"Basso",IF(F18&lt;9,"Medio","Alto")),"")</x:f>
        <x:v>Medio</x:v>
      </x:c>
      <x:c r="H18" s="82" t="str">
        <x:v>Monitorare / accettare</x:v>
      </x:c>
      <x:c r="I18" s="13" t="str">
        <x:v>AC 01/26</x:v>
      </x:c>
      <x:c r="J18" s="13" t="str">
        <x:v>DIR / DID</x:v>
      </x:c>
      <x:c r="K18" s="13" t="str">
        <x:v>OK</x:v>
      </x:c>
    </x:row>
    <x:row r="19" ht="34" customHeight="1">
      <x:c r="A19" s="13" t="str">
        <x:v>Progettazione didattica non conforme</x:v>
      </x:c>
      <x:c r="B19" s="36" t="n">
        <x:v>2</x:v>
      </x:c>
      <x:c r="C19" s="15" t="str">
        <x:v>R</x:v>
      </x:c>
      <x:c r="D19" s="15" t="n">
        <x:v>2</x:v>
      </x:c>
      <x:c r="E19" s="15" t="n">
        <x:v>4</x:v>
      </x:c>
      <x:c r="F19" s="23" t="n">
        <x:f t="shared" si="0">IF(COUNT(D19:E19)=2,D19*E19,"")</x:f>
        <x:v>8</x:v>
      </x:c>
      <x:c r="G19" s="24" t="str">
        <x:f t="shared" si="1">IF(ISNUMBER(F19),IF(F19&lt;4,"Basso",IF(F19&lt;9,"Medio","Alto")),"")</x:f>
        <x:v>Medio</x:v>
      </x:c>
      <x:c r="H19" s="82" t="str">
        <x:v>Monitorare / accettare</x:v>
      </x:c>
      <x:c r="I19" s="13" t="str">
        <x:v>AC 02/26</x:v>
      </x:c>
      <x:c r="J19" s="13" t="str">
        <x:v>DID</x:v>
      </x:c>
      <x:c r="K19" s="13" t="str">
        <x:v>OK</x:v>
      </x:c>
    </x:row>
    <x:row r="20" ht="34" customHeight="1">
      <x:c r="A20" s="13" t="str">
        <x:v>Carenza di docenti qualificati</x:v>
      </x:c>
      <x:c r="B20" s="36" t="n">
        <x:v>3</x:v>
      </x:c>
      <x:c r="C20" s="15" t="str">
        <x:v>R</x:v>
      </x:c>
      <x:c r="D20" s="15" t="n">
        <x:v>2</x:v>
      </x:c>
      <x:c r="E20" s="15" t="n">
        <x:v>4</x:v>
      </x:c>
      <x:c r="F20" s="23" t="n">
        <x:f t="shared" si="0">IF(COUNT(D20:E20)=2,D20*E20,"")</x:f>
        <x:v>8</x:v>
      </x:c>
      <x:c r="G20" s="24" t="str">
        <x:f t="shared" si="1">IF(ISNUMBER(F20),IF(F20&lt;4,"Basso",IF(F20&lt;9,"Medio","Alto")),"")</x:f>
        <x:v>Medio</x:v>
      </x:c>
      <x:c r="H20" s="82" t="str">
        <x:v>Monitorare / accettare</x:v>
      </x:c>
      <x:c r="I20" s="13" t="str">
        <x:v>AC 03/26</x:v>
      </x:c>
      <x:c r="J20" s="13" t="str">
        <x:v>DID / QUAL</x:v>
      </x:c>
      <x:c r="K20" s="13" t="str">
        <x:v>OK</x:v>
      </x:c>
    </x:row>
    <x:row r="21" ht="34" customHeight="1">
      <x:c r="A21" s="13" t="str">
        <x:v>Indisponibilità improvvisa del docente</x:v>
      </x:c>
      <x:c r="B21" s="36" t="n">
        <x:v>4</x:v>
      </x:c>
      <x:c r="C21" s="15" t="str">
        <x:v>R</x:v>
      </x:c>
      <x:c r="D21" s="15" t="n">
        <x:v>2</x:v>
      </x:c>
      <x:c r="E21" s="15" t="n">
        <x:v>3</x:v>
      </x:c>
      <x:c r="F21" s="23" t="n">
        <x:f t="shared" si="0">IF(COUNT(D21:E21)=2,D21*E21,"")</x:f>
        <x:v>6</x:v>
      </x:c>
      <x:c r="G21" s="24" t="str">
        <x:f t="shared" si="1">IF(ISNUMBER(F21),IF(F21&lt;4,"Basso",IF(F21&lt;9,"Medio","Alto")),"")</x:f>
        <x:v>Medio</x:v>
      </x:c>
      <x:c r="H21" s="83" t="str">
        <x:v>Monitorare / accettare</x:v>
      </x:c>
      <x:c r="I21" s="13" t="str">
        <x:v>OP 01/26</x:v>
      </x:c>
      <x:c r="J21" s="13" t="str">
        <x:v>DID</x:v>
      </x:c>
      <x:c r="K21" s="13" t="str">
        <x:v>OK</x:v>
      </x:c>
    </x:row>
    <x:row r="22" ht="34" customHeight="1">
      <x:c r="A22" s="13" t="str">
        <x:v>Verifica incompleta dei requisiti degli iscritti</x:v>
      </x:c>
      <x:c r="B22" s="36" t="n">
        <x:v>5</x:v>
      </x:c>
      <x:c r="C22" s="15" t="str">
        <x:v>R</x:v>
      </x:c>
      <x:c r="D22" s="15" t="n">
        <x:v>2</x:v>
      </x:c>
      <x:c r="E22" s="15" t="n">
        <x:v>3</x:v>
      </x:c>
      <x:c r="F22" s="23" t="n">
        <x:f t="shared" si="0">IF(COUNT(D22:E22)=2,D22*E22,"")</x:f>
        <x:v>6</x:v>
      </x:c>
      <x:c r="G22" s="24" t="str">
        <x:f t="shared" si="1">IF(ISNUMBER(F22),IF(F22&lt;4,"Basso",IF(F22&lt;9,"Medio","Alto")),"")</x:f>
        <x:v>Medio</x:v>
      </x:c>
      <x:c r="H22" s="83" t="str">
        <x:v>Monitorare / accettare</x:v>
      </x:c>
      <x:c r="I22" s="13" t="str">
        <x:v>AC 04/26</x:v>
      </x:c>
      <x:c r="J22" s="13" t="str">
        <x:v>SEG / DID</x:v>
      </x:c>
      <x:c r="K22" s="13" t="str">
        <x:v>OK</x:v>
      </x:c>
    </x:row>
    <x:row r="23" ht="34" customHeight="1">
      <x:c r="A23" s="13" t="str">
        <x:v>Errori nella pianificazione di calendario, aule e risorse</x:v>
      </x:c>
      <x:c r="B23" s="36" t="n">
        <x:v>6</x:v>
      </x:c>
      <x:c r="C23" s="15" t="str">
        <x:v>R</x:v>
      </x:c>
      <x:c r="D23" s="15" t="n">
        <x:v>2</x:v>
      </x:c>
      <x:c r="E23" s="15" t="n">
        <x:v>4</x:v>
      </x:c>
      <x:c r="F23" s="23" t="n">
        <x:f t="shared" si="0">IF(COUNT(D23:E23)=2,D23*E23,"")</x:f>
        <x:v>8</x:v>
      </x:c>
      <x:c r="G23" s="24" t="str">
        <x:f t="shared" si="1">IF(ISNUMBER(F23),IF(F23&lt;4,"Basso",IF(F23&lt;9,"Medio","Alto")),"")</x:f>
        <x:v>Medio</x:v>
      </x:c>
      <x:c r="H23" s="82" t="str">
        <x:v>Monitorare / accettare</x:v>
      </x:c>
      <x:c r="I23" s="13" t="str">
        <x:v>AC 05/26</x:v>
      </x:c>
      <x:c r="J23" s="13" t="str">
        <x:v>DID / SEG</x:v>
      </x:c>
      <x:c r="K23" s="13" t="str">
        <x:v>OK</x:v>
      </x:c>
    </x:row>
    <x:row r="24" ht="34" customHeight="1">
      <x:c r="A24" s="13" t="str">
        <x:v>Registri presenze e fascicoli corso incompleti</x:v>
      </x:c>
      <x:c r="B24" s="36" t="n">
        <x:v>7</x:v>
      </x:c>
      <x:c r="C24" s="15" t="str">
        <x:v>R</x:v>
      </x:c>
      <x:c r="D24" s="15" t="n">
        <x:v>1</x:v>
      </x:c>
      <x:c r="E24" s="15" t="n">
        <x:v>4</x:v>
      </x:c>
      <x:c r="F24" s="23" t="n">
        <x:f t="shared" si="0">IF(COUNT(D24:E24)=2,D24*E24,"")</x:f>
        <x:v>4</x:v>
      </x:c>
      <x:c r="G24" s="24" t="str">
        <x:f t="shared" si="1">IF(ISNUMBER(F24),IF(F24&lt;4,"Basso",IF(F24&lt;9,"Medio","Alto")),"")</x:f>
        <x:v>Medio</x:v>
      </x:c>
      <x:c r="H24" s="83" t="str">
        <x:v>Monitorare / accettare</x:v>
      </x:c>
      <x:c r="I24" s="13" t="str">
        <x:v>AC 06/26</x:v>
      </x:c>
      <x:c r="J24" s="13" t="str">
        <x:v>DOC / TUT</x:v>
      </x:c>
      <x:c r="K24" s="13" t="str">
        <x:v>OK</x:v>
      </x:c>
    </x:row>
    <x:row r="25" ht="34" customHeight="1">
      <x:c r="A25" s="13" t="str">
        <x:v>Erogazione non coerente con il progetto approvato</x:v>
      </x:c>
      <x:c r="B25" s="36" t="n">
        <x:v>8</x:v>
      </x:c>
      <x:c r="C25" s="15" t="str">
        <x:v>R</x:v>
      </x:c>
      <x:c r="D25" s="15" t="n">
        <x:v>2</x:v>
      </x:c>
      <x:c r="E25" s="15" t="n">
        <x:v>4</x:v>
      </x:c>
      <x:c r="F25" s="23" t="n">
        <x:f t="shared" si="0">IF(COUNT(D25:E25)=2,D25*E25,"")</x:f>
        <x:v>8</x:v>
      </x:c>
      <x:c r="G25" s="24" t="str">
        <x:f t="shared" si="1">IF(ISNUMBER(F25),IF(F25&lt;4,"Basso",IF(F25&lt;9,"Medio","Alto")),"")</x:f>
        <x:v>Medio</x:v>
      </x:c>
      <x:c r="H25" s="82" t="str">
        <x:v>Monitorare / accettare</x:v>
      </x:c>
      <x:c r="I25" s="13" t="str">
        <x:v>AC 07/26</x:v>
      </x:c>
      <x:c r="J25" s="13" t="str">
        <x:v>DOC / TUT</x:v>
      </x:c>
      <x:c r="K25" s="13" t="str">
        <x:v>OK</x:v>
      </x:c>
    </x:row>
    <x:row r="26" ht="34" customHeight="1">
      <x:c r="A26" s="13" t="str">
        <x:v>Malfunzionamento della piattaforma FAD</x:v>
      </x:c>
      <x:c r="B26" s="36" t="n">
        <x:v>9</x:v>
      </x:c>
      <x:c r="C26" s="15" t="str">
        <x:v>R</x:v>
      </x:c>
      <x:c r="D26" s="15" t="n">
        <x:v>2</x:v>
      </x:c>
      <x:c r="E26" s="15" t="n">
        <x:v>3</x:v>
      </x:c>
      <x:c r="F26" s="23" t="n">
        <x:f t="shared" si="0">IF(COUNT(D26:E26)=2,D26*E26,"")</x:f>
        <x:v>6</x:v>
      </x:c>
      <x:c r="G26" s="24" t="str">
        <x:f t="shared" si="1">IF(ISNUMBER(F26),IF(F26&lt;4,"Basso",IF(F26&lt;9,"Medio","Alto")),"")</x:f>
        <x:v>Medio</x:v>
      </x:c>
      <x:c r="H26" s="83" t="str">
        <x:v>Monitorare / accettare</x:v>
      </x:c>
      <x:c r="I26" s="13" t="str">
        <x:v>OP 02/26</x:v>
      </x:c>
      <x:c r="J26" s="13" t="str">
        <x:v>DID / FORN</x:v>
      </x:c>
      <x:c r="K26" s="13" t="str">
        <x:v>OK</x:v>
      </x:c>
    </x:row>
    <x:row r="27" ht="34" customHeight="1">
      <x:c r="A27" s="13" t="str">
        <x:v>Aule o attrezzature non idonee</x:v>
      </x:c>
      <x:c r="B27" s="36" t="n">
        <x:v>10</x:v>
      </x:c>
      <x:c r="C27" s="15" t="str">
        <x:v>R</x:v>
      </x:c>
      <x:c r="D27" s="15" t="n">
        <x:v>2</x:v>
      </x:c>
      <x:c r="E27" s="15" t="n">
        <x:v>4</x:v>
      </x:c>
      <x:c r="F27" s="23" t="n">
        <x:f t="shared" si="0">IF(COUNT(D27:E27)=2,D27*E27,"")</x:f>
        <x:v>8</x:v>
      </x:c>
      <x:c r="G27" s="24" t="str">
        <x:f t="shared" si="1">IF(ISNUMBER(F27),IF(F27&lt;4,"Basso",IF(F27&lt;9,"Medio","Alto")),"")</x:f>
        <x:v>Medio</x:v>
      </x:c>
      <x:c r="H27" s="83" t="str">
        <x:v>Monitorare / accettare</x:v>
      </x:c>
      <x:c r="I27" s="13" t="str">
        <x:v>AC 08/26</x:v>
      </x:c>
      <x:c r="J27" s="13" t="str">
        <x:v>DID / SEG</x:v>
      </x:c>
      <x:c r="K27" s="13" t="str">
        <x:v>OK</x:v>
      </x:c>
    </x:row>
    <x:row r="28" ht="34" customHeight="1">
      <x:c r="A28" s="13" t="str">
        <x:v>Valutazione degli apprendimenti non affidabile</x:v>
      </x:c>
      <x:c r="B28" s="36" t="n">
        <x:v>11</x:v>
      </x:c>
      <x:c r="C28" s="15" t="str">
        <x:v>R</x:v>
      </x:c>
      <x:c r="D28" s="15" t="n">
        <x:v>2</x:v>
      </x:c>
      <x:c r="E28" s="15" t="n">
        <x:v>4</x:v>
      </x:c>
      <x:c r="F28" s="23" t="n">
        <x:f t="shared" si="0">IF(COUNT(D28:E28)=2,D28*E28,"")</x:f>
        <x:v>8</x:v>
      </x:c>
      <x:c r="G28" s="24" t="str">
        <x:f t="shared" si="1">IF(ISNUMBER(F28),IF(F28&lt;4,"Basso",IF(F28&lt;9,"Medio","Alto")),"")</x:f>
        <x:v>Medio</x:v>
      </x:c>
      <x:c r="H28" s="83" t="str">
        <x:v>Monitorare / accettare</x:v>
      </x:c>
      <x:c r="I28" s="13" t="str">
        <x:v>AC 09/26</x:v>
      </x:c>
      <x:c r="J28" s="13" t="str">
        <x:v>DOC / DID</x:v>
      </x:c>
      <x:c r="K28" s="13" t="str">
        <x:v>OK</x:v>
      </x:c>
    </x:row>
    <x:row r="29" ht="34" customHeight="1">
      <x:c r="A29" s="13" t="str">
        <x:v>Reclami e questionari di gradimento non analizzati</x:v>
      </x:c>
      <x:c r="B29" s="36" t="n">
        <x:v>12</x:v>
      </x:c>
      <x:c r="C29" s="15" t="str">
        <x:v>R</x:v>
      </x:c>
      <x:c r="D29" s="15" t="n">
        <x:v>2</x:v>
      </x:c>
      <x:c r="E29" s="15" t="n">
        <x:v>4</x:v>
      </x:c>
      <x:c r="F29" s="23" t="n">
        <x:f t="shared" si="0">IF(COUNT(D29:E29)=2,D29*E29,"")</x:f>
        <x:v>8</x:v>
      </x:c>
      <x:c r="G29" s="24" t="str">
        <x:f t="shared" si="1">IF(ISNUMBER(F29),IF(F29&lt;4,"Basso",IF(F29&lt;9,"Medio","Alto")),"")</x:f>
        <x:v>Medio</x:v>
      </x:c>
      <x:c r="H29" s="82" t="str">
        <x:v>Monitorare / accettare</x:v>
      </x:c>
      <x:c r="I29" s="13" t="str">
        <x:v>OP 03/26</x:v>
      </x:c>
      <x:c r="J29" s="13" t="str">
        <x:v>QUAL / DID</x:v>
      </x:c>
      <x:c r="K29" s="13" t="str">
        <x:v>OK</x:v>
      </x:c>
    </x:row>
    <x:row r="30" ht="34" customHeight="1">
      <x:c r="A30" s="13" t="str">
        <x:v>Indicatori e risultati formativi non monitorati</x:v>
      </x:c>
      <x:c r="B30" s="36" t="n">
        <x:v>13</x:v>
      </x:c>
      <x:c r="C30" s="15" t="str">
        <x:v>R</x:v>
      </x:c>
      <x:c r="D30" s="15" t="n">
        <x:v>2</x:v>
      </x:c>
      <x:c r="E30" s="15" t="n">
        <x:v>4</x:v>
      </x:c>
      <x:c r="F30" s="23" t="n">
        <x:f t="shared" si="0">IF(COUNT(D30:E30)=2,D30*E30,"")</x:f>
        <x:v>8</x:v>
      </x:c>
      <x:c r="G30" s="24" t="str">
        <x:f t="shared" si="1">IF(ISNUMBER(F30),IF(F30&lt;4,"Basso",IF(F30&lt;9,"Medio","Alto")),"")</x:f>
        <x:v>Medio</x:v>
      </x:c>
      <x:c r="H30" s="83" t="str">
        <x:v>Monitorare / accettare</x:v>
      </x:c>
      <x:c r="I30" s="13" t="str">
        <x:v>AC 10/26</x:v>
      </x:c>
      <x:c r="J30" s="13" t="str">
        <x:v>QUAL / DIR</x:v>
      </x:c>
      <x:c r="K30" s="13" t="str">
        <x:v>Attesa</x:v>
      </x:c>
    </x:row>
    <x:row r="31" ht="34" customHeight="1">
      <x:c r="A31" s="13" t="str">
        <x:v>Errori nella rendicontazione dei corsi finanziati</x:v>
      </x:c>
      <x:c r="B31" s="36" t="n">
        <x:v>14</x:v>
      </x:c>
      <x:c r="C31" s="15" t="str">
        <x:v>R</x:v>
      </x:c>
      <x:c r="D31" s="15" t="n">
        <x:v>2</x:v>
      </x:c>
      <x:c r="E31" s="15" t="n">
        <x:v>4</x:v>
      </x:c>
      <x:c r="F31" s="23" t="n">
        <x:f t="shared" si="0">IF(COUNT(D31:E31)=2,D31*E31,"")</x:f>
        <x:v>8</x:v>
      </x:c>
      <x:c r="G31" s="24" t="str">
        <x:f t="shared" si="1">IF(ISNUMBER(F31),IF(F31&lt;4,"Basso",IF(F31&lt;9,"Medio","Alto")),"")</x:f>
        <x:v>Medio</x:v>
      </x:c>
      <x:c r="H31" s="83" t="str">
        <x:v>Monitorare / accettare</x:v>
      </x:c>
      <x:c r="I31" s="13" t="str">
        <x:v>AC 11/26</x:v>
      </x:c>
      <x:c r="J31" s="13" t="str">
        <x:v>AMM / DID</x:v>
      </x:c>
      <x:c r="K31" s="13" t="str">
        <x:v>Attesa</x:v>
      </x:c>
    </x:row>
    <x:row r="32" ht="34" customHeight="1">
      <x:c r="A32" s="13" t="str">
        <x:v>Violazione dei dati personali di partecipanti e docenti</x:v>
      </x:c>
      <x:c r="B32" s="36" t="n">
        <x:v>15</x:v>
      </x:c>
      <x:c r="C32" s="15" t="str">
        <x:v>R</x:v>
      </x:c>
      <x:c r="D32" s="15" t="n">
        <x:v>2</x:v>
      </x:c>
      <x:c r="E32" s="15" t="n">
        <x:v>4</x:v>
      </x:c>
      <x:c r="F32" s="23" t="n">
        <x:f t="shared" si="0">IF(COUNT(D32:E32)=2,D32*E32,"")</x:f>
        <x:v>8</x:v>
      </x:c>
      <x:c r="G32" s="24" t="str">
        <x:f t="shared" si="1">IF(ISNUMBER(F32),IF(F32&lt;4,"Basso",IF(F32&lt;9,"Medio","Alto")),"")</x:f>
        <x:v>Medio</x:v>
      </x:c>
      <x:c r="H32" s="83" t="str">
        <x:v>Monitorare / accettare</x:v>
      </x:c>
      <x:c r="I32" s="13" t="str">
        <x:v>AC 12/26</x:v>
      </x:c>
      <x:c r="J32" s="13" t="str">
        <x:v>DIR / QUAL</x:v>
      </x:c>
      <x:c r="K32" s="13" t="str">
        <x:v>OK</x:v>
      </x:c>
    </x:row>
    <x:row r="33" ht="34" customHeight="1">
      <x:c r="A33" s="13" t="str">
        <x:v>Fornitori esterni non adeguatamente qualificati</x:v>
      </x:c>
      <x:c r="B33" s="36" t="n">
        <x:v>16</x:v>
      </x:c>
      <x:c r="C33" s="15" t="str">
        <x:v>R</x:v>
      </x:c>
      <x:c r="D33" s="15" t="n">
        <x:v>1</x:v>
      </x:c>
      <x:c r="E33" s="15" t="n">
        <x:v>4</x:v>
      </x:c>
      <x:c r="F33" s="23" t="n">
        <x:f t="shared" si="0">IF(COUNT(D33:E33)=2,D33*E33,"")</x:f>
        <x:v>4</x:v>
      </x:c>
      <x:c r="G33" s="24" t="str">
        <x:f t="shared" si="1">IF(ISNUMBER(F33),IF(F33&lt;4,"Basso",IF(F33&lt;9,"Medio","Alto")),"")</x:f>
        <x:v>Medio</x:v>
      </x:c>
      <x:c r="H33" s="83" t="str">
        <x:v>Monitorare / accettare</x:v>
      </x:c>
      <x:c r="I33" s="13" t="str">
        <x:v>OP 04/26</x:v>
      </x:c>
      <x:c r="J33" s="13" t="str">
        <x:v>DID / AMM</x:v>
      </x:c>
      <x:c r="K33" s="13" t="str">
        <x:v>OK</x:v>
      </x:c>
    </x:row>
    <x:row r="34" ht="34" customHeight="1">
      <x:c r="A34" s="13" t="str">
        <x:v>Documenti SGQ e modulistica non aggiornati</x:v>
      </x:c>
      <x:c r="B34" s="36" t="n">
        <x:v>17</x:v>
      </x:c>
      <x:c r="C34" s="15" t="str">
        <x:v>R</x:v>
      </x:c>
      <x:c r="D34" s="15" t="n">
        <x:v>2</x:v>
      </x:c>
      <x:c r="E34" s="15" t="n">
        <x:v>4</x:v>
      </x:c>
      <x:c r="F34" s="23" t="n">
        <x:f t="shared" si="0">IF(COUNT(D34:E34)=2,D34*E34,"")</x:f>
        <x:v>8</x:v>
      </x:c>
      <x:c r="G34" s="24" t="str">
        <x:f t="shared" si="1">IF(ISNUMBER(F34),IF(F34&lt;4,"Basso",IF(F34&lt;9,"Medio","Alto")),"")</x:f>
        <x:v>Medio</x:v>
      </x:c>
      <x:c r="H34" s="83" t="str">
        <x:v>Monitorare / accettare</x:v>
      </x:c>
      <x:c r="I34" s="13" t="str">
        <x:v>AC 13/26</x:v>
      </x:c>
      <x:c r="J34" s="13" t="str">
        <x:v>QUAL</x:v>
      </x:c>
      <x:c r="K34" s="13" t="str">
        <x:v>OK</x:v>
      </x:c>
    </x:row>
    <x:row r="35" ht="34" customHeight="1">
      <x:c r="A35" s="13" t="str">
        <x:v>Mancato aggiornamento normativo e di accreditamento</x:v>
      </x:c>
      <x:c r="B35" s="36" t="n">
        <x:v>18</x:v>
      </x:c>
      <x:c r="C35" s="15" t="str">
        <x:v>R</x:v>
      </x:c>
      <x:c r="D35" s="15" t="n">
        <x:v>1</x:v>
      </x:c>
      <x:c r="E35" s="15" t="n">
        <x:v>4</x:v>
      </x:c>
      <x:c r="F35" s="23" t="n">
        <x:f t="shared" si="0">IF(COUNT(D35:E35)=2,D35*E35,"")</x:f>
        <x:v>4</x:v>
      </x:c>
      <x:c r="G35" s="24" t="str">
        <x:f t="shared" si="1">IF(ISNUMBER(F35),IF(F35&lt;4,"Basso",IF(F35&lt;9,"Medio","Alto")),"")</x:f>
        <x:v>Medio</x:v>
      </x:c>
      <x:c r="H35" s="84" t="str">
        <x:v>Monitorare / accettare</x:v>
      </x:c>
      <x:c r="I35" s="13" t="str">
        <x:v>OP 05/26</x:v>
      </x:c>
      <x:c r="J35" s="13" t="str">
        <x:v>DIR / QUAL</x:v>
      </x:c>
      <x:c r="K35" s="13" t="str">
        <x:v>Attesa</x:v>
      </x:c>
    </x:row>
    <x:row r="36" ht="34" customHeight="1">
      <x:c r="A36" s="13" t="str">
        <x:v>Sovraccarico o competenze insufficienti del personale interno</x:v>
      </x:c>
      <x:c r="B36" s="36" t="n">
        <x:v>19</x:v>
      </x:c>
      <x:c r="C36" s="15" t="str">
        <x:v>R</x:v>
      </x:c>
      <x:c r="D36" s="15" t="n">
        <x:v>2</x:v>
      </x:c>
      <x:c r="E36" s="15" t="n">
        <x:v>4</x:v>
      </x:c>
      <x:c r="F36" s="23" t="n">
        <x:f t="shared" si="0">IF(COUNT(D36:E36)=2,D36*E36,"")</x:f>
        <x:v>8</x:v>
      </x:c>
      <x:c r="G36" s="24" t="str">
        <x:f t="shared" si="1">IF(ISNUMBER(F36),IF(F36&lt;4,"Basso",IF(F36&lt;9,"Medio","Alto")),"")</x:f>
        <x:v>Medio</x:v>
      </x:c>
      <x:c r="H36" s="84" t="str">
        <x:v>Monitorare / accettare</x:v>
      </x:c>
      <x:c r="I36" s="13" t="str">
        <x:v>OP 06/26</x:v>
      </x:c>
      <x:c r="J36" s="13" t="str">
        <x:v>DIR / QUAL</x:v>
      </x:c>
      <x:c r="K36" s="13" t="str">
        <x:v>OK</x:v>
      </x:c>
    </x:row>
    <x:row r="37" ht="34" customHeight="1">
      <x:c r="A37" s="13" t="str">
        <x:v>Interruzione delle attività formative per emergenze</x:v>
      </x:c>
      <x:c r="B37" s="36" t="n">
        <x:v>20</x:v>
      </x:c>
      <x:c r="C37" s="15" t="str">
        <x:v>R</x:v>
      </x:c>
      <x:c r="D37" s="15" t="n">
        <x:v>1</x:v>
      </x:c>
      <x:c r="E37" s="15" t="n">
        <x:v>4</x:v>
      </x:c>
      <x:c r="F37" s="23" t="n">
        <x:f t="shared" si="0">IF(COUNT(D37:E37)=2,D37*E37,"")</x:f>
        <x:v>4</x:v>
      </x:c>
      <x:c r="G37" s="24" t="str">
        <x:f t="shared" si="1">IF(ISNUMBER(F37),IF(F37&lt;4,"Basso",IF(F37&lt;9,"Medio","Alto")),"")</x:f>
        <x:v>Medio</x:v>
      </x:c>
      <x:c r="H37" s="84" t="str">
        <x:v>Monitorare / accettare</x:v>
      </x:c>
      <x:c r="I37" s="13" t="str">
        <x:v>OP 07/26</x:v>
      </x:c>
      <x:c r="J37" s="13" t="str">
        <x:v>DIR / DID</x:v>
      </x:c>
      <x:c r="K37" s="13" t="str">
        <x:v>Attesa</x:v>
      </x:c>
    </x:row>
    <x:row r="38" ht="34" customHeight="1">
      <x:c r="A38" s="13" t="str">
        <x:v>Sviluppo dell’offerta blended e FAD</x:v>
      </x:c>
      <x:c r="B38" s="35" t="str">
        <x:v>OPP 1</x:v>
      </x:c>
      <x:c r="C38" s="15" t="str">
        <x:v>O</x:v>
      </x:c>
      <x:c r="D38" s="15" t="n">
        <x:v>3</x:v>
      </x:c>
      <x:c r="E38" s="15" t="n">
        <x:v>4</x:v>
      </x:c>
      <x:c r="F38" s="23" t="n">
        <x:f t="shared" si="0">IF(COUNT(D38:E38)=2,D38*E38,"")</x:f>
        <x:v>12</x:v>
      </x:c>
      <x:c r="G38" s="24" t="str">
        <x:f t="shared" si="1">IF(ISNUMBER(F38),IF(F38&lt;4,"Basso",IF(F38&lt;9,"Medio","Alto")),"")</x:f>
        <x:v>Alto</x:v>
      </x:c>
      <x:c r="H38" s="85" t="str">
        <x:v>Sviluppare l’opportunità</x:v>
      </x:c>
      <x:c r="I38" s="13" t="str">
        <x:v>OPP 01/26</x:v>
      </x:c>
      <x:c r="J38" s="13" t="str">
        <x:v>DIR / DID</x:v>
      </x:c>
      <x:c r="K38" s="13" t="str">
        <x:v>Attesa</x:v>
      </x:c>
    </x:row>
    <x:row r="39" ht="34" customHeight="1">
      <x:c r="A39" s="13" t="str">
        <x:v>Accesso a nuovi bandi e fondi interprofessionali</x:v>
      </x:c>
      <x:c r="B39" s="35" t="str">
        <x:v>OPP 2</x:v>
      </x:c>
      <x:c r="C39" s="15" t="str">
        <x:v>O</x:v>
      </x:c>
      <x:c r="D39" s="15" t="n">
        <x:v>3</x:v>
      </x:c>
      <x:c r="E39" s="15" t="n">
        <x:v>4</x:v>
      </x:c>
      <x:c r="F39" s="23" t="n">
        <x:f t="shared" si="0">IF(COUNT(D39:E39)=2,D39*E39,"")</x:f>
        <x:v>12</x:v>
      </x:c>
      <x:c r="G39" s="24" t="str">
        <x:f t="shared" si="1">IF(ISNUMBER(F39),IF(F39&lt;4,"Basso",IF(F39&lt;9,"Medio","Alto")),"")</x:f>
        <x:v>Alto</x:v>
      </x:c>
      <x:c r="H39" s="85" t="str">
        <x:v>Sviluppare l’opportunità</x:v>
      </x:c>
      <x:c r="I39" s="13" t="str">
        <x:v>OPP 02/26</x:v>
      </x:c>
      <x:c r="J39" s="13" t="str">
        <x:v>DIR / AMM</x:v>
      </x:c>
      <x:c r="K39" s="13" t="str">
        <x:v>OK</x:v>
      </x:c>
    </x:row>
    <x:row r="40" ht="34" customHeight="1">
      <x:c r="A40" s="41" t="str">
        <x:v>Partnership con imprese, enti e territorio</x:v>
      </x:c>
      <x:c r="B40" s="42" t="str">
        <x:v>OPP 3</x:v>
      </x:c>
      <x:c r="C40" s="43" t="str">
        <x:v>O</x:v>
      </x:c>
      <x:c r="D40" s="43" t="n">
        <x:v>3</x:v>
      </x:c>
      <x:c r="E40" s="43" t="n">
        <x:v>3</x:v>
      </x:c>
      <x:c r="F40" s="44" t="n">
        <x:f t="shared" si="0">IF(COUNT(D40:E40)=2,D40*E40,"")</x:f>
        <x:v>9</x:v>
      </x:c>
      <x:c r="G40" s="45" t="str">
        <x:f t="shared" si="1">IF(ISNUMBER(F40),IF(F40&lt;4,"Basso",IF(F40&lt;9,"Medio","Alto")),"")</x:f>
        <x:v>Alto</x:v>
      </x:c>
      <x:c r="H40" s="84" t="str">
        <x:v>Sviluppare l’opportunità</x:v>
      </x:c>
      <x:c r="I40" s="66" t="str">
        <x:v>OPP 03/26</x:v>
      </x:c>
      <x:c r="J40" s="67" t="str">
        <x:v>DIR / RDF</x:v>
      </x:c>
      <x:c r="K40" s="41" t="str">
        <x:v>Attesa</x:v>
      </x:c>
    </x:row>
    <x:row r="41" ht="34" customHeight="1">
      <x:c r="A41" s="41" t="str">
        <x:v>Sviluppo competenze e metodologie innovative dei docenti</x:v>
      </x:c>
      <x:c r="B41" s="42" t="str">
        <x:v>OPP 4</x:v>
      </x:c>
      <x:c r="C41" s="43" t="str">
        <x:v>O</x:v>
      </x:c>
      <x:c r="D41" s="43" t="n">
        <x:v>3</x:v>
      </x:c>
      <x:c r="E41" s="43" t="n">
        <x:v>4</x:v>
      </x:c>
      <x:c r="F41" s="44" t="n">
        <x:f t="shared" si="0">IF(COUNT(D41:E41)=2,D41*E41,"")</x:f>
        <x:v>12</x:v>
      </x:c>
      <x:c r="G41" s="45" t="str">
        <x:f t="shared" si="1">IF(ISNUMBER(F41),IF(F41&lt;4,"Basso",IF(F41&lt;9,"Medio","Alto")),"")</x:f>
        <x:v>Alto</x:v>
      </x:c>
      <x:c r="H41" s="84" t="str">
        <x:v>Sviluppare l’opportunità</x:v>
      </x:c>
      <x:c r="I41" s="68" t="str">
        <x:v>OPP 04/26</x:v>
      </x:c>
      <x:c r="J41" s="69" t="str">
        <x:v>RDF / RSQ</x:v>
      </x:c>
      <x:c r="K41" s="41" t="str">
        <x:v>Attesa</x:v>
      </x:c>
    </x:row>
    <x:row r="42" ht="22.5">
      <x:c r="A42" s="41"/>
      <x:c r="B42" s="42"/>
      <x:c r="C42" s="43"/>
      <x:c r="D42" s="43"/>
      <x:c r="E42" s="43"/>
      <x:c r="F42" s="44" t="str">
        <x:f t="shared" si="0">IF(COUNT(D42:E42)=2,D42*E42,"")</x:f>
      </x:c>
      <x:c r="G42" s="45" t="str">
        <x:f t="shared" si="1">IF(ISNUMBER(F42),IF(F42&lt;4,"Basso",IF(F42&lt;9,"Medio","Alto")),"")</x:f>
      </x:c>
      <x:c r="H42" s="38"/>
      <x:c r="I42" s="68"/>
      <x:c r="J42" s="69"/>
      <x:c r="K42" s="41"/>
    </x:row>
    <x:row r="43" ht="22.5">
      <x:c r="A43" s="41"/>
      <x:c r="B43" s="42"/>
      <x:c r="C43" s="43"/>
      <x:c r="D43" s="43"/>
      <x:c r="E43" s="43"/>
      <x:c r="F43" s="44" t="str">
        <x:f t="shared" si="0">IF(COUNT(D43:E43)=2,D43*E43,"")</x:f>
      </x:c>
      <x:c r="G43" s="45" t="str">
        <x:f t="shared" si="1">IF(ISNUMBER(F43),IF(F43&lt;4,"Basso",IF(F43&lt;9,"Medio","Alto")),"")</x:f>
      </x:c>
      <x:c r="H43" s="38"/>
      <x:c r="I43" s="70"/>
      <x:c r="J43" s="71"/>
      <x:c r="K43" s="41"/>
    </x:row>
    <x:row r="44">
      <x:c r="A44" s="79" t="str">
        <x:v>Note: scala semplificata 1–4. Indice = Probabilità × Conseguenza/beneficio. Le opportunità sono identificate con “O” e valutate separatamente dai rischi.</x:v>
      </x:c>
      <x:c r="B44" s="80"/>
      <x:c r="C44" s="81"/>
      <x:c r="D44" s="81"/>
      <x:c r="E44" s="81"/>
      <x:c r="F44" s="81" t="str">
        <x:f t="shared" si="0">IF(COUNT(D44:E44)=2,D44*E44,"")</x:f>
      </x:c>
      <x:c r="G44" s="79" t="str">
        <x:f t="shared" si="1">IF(ISNUMBER(F44),IF(F44&lt;4,"Basso",IF(F44&lt;9,"Medio","Alto")),"")</x:f>
      </x:c>
      <x:c r="H44" s="79"/>
      <x:c r="I44" s="79"/>
      <x:c r="J44" s="79"/>
      <x:c r="K44" s="79"/>
    </x:row>
    <x:row r="45">
      <x:c r="A45" s="13"/>
      <x:c r="B45" s="14"/>
      <x:c r="C45" s="15"/>
      <x:c r="D45" s="15"/>
      <x:c r="E45" s="15"/>
      <x:c r="F45" s="23" t="str">
        <x:f t="shared" si="0">IF(COUNT(D45:E45)=2,D45*E45,"")</x:f>
      </x:c>
      <x:c r="G45" s="24" t="str">
        <x:f t="shared" si="1">IF(ISNUMBER(F45),IF(F45&lt;4,"Basso",IF(F45&lt;9,"Medio","Alto")),"")</x:f>
      </x:c>
      <x:c r="H45" s="13"/>
      <x:c r="I45" s="13"/>
      <x:c r="J45" s="13"/>
      <x:c r="K45" s="13"/>
    </x:row>
    <x:row r="46">
      <x:c r="A46" s="13"/>
      <x:c r="B46" s="14"/>
      <x:c r="C46" s="15"/>
      <x:c r="D46" s="15"/>
      <x:c r="E46" s="15"/>
      <x:c r="F46" s="23" t="str">
        <x:f t="shared" si="0">IF(COUNT(D46:E46)=2,D46*E46,"")</x:f>
      </x:c>
      <x:c r="G46" s="24" t="str">
        <x:f t="shared" si="1">IF(ISNUMBER(F46),IF(F46&lt;4,"Basso",IF(F46&lt;9,"Medio","Alto")),"")</x:f>
      </x:c>
      <x:c r="H46" s="13"/>
      <x:c r="I46" s="13"/>
      <x:c r="J46" s="13"/>
      <x:c r="K46" s="13"/>
    </x:row>
    <x:row r="47">
      <x:c r="A47" s="13"/>
      <x:c r="B47" s="14"/>
      <x:c r="C47" s="15"/>
      <x:c r="D47" s="15"/>
      <x:c r="E47" s="15"/>
      <x:c r="F47" s="23" t="str">
        <x:f t="shared" si="0">IF(COUNT(D47:E47)=2,D47*E47,"")</x:f>
      </x:c>
      <x:c r="G47" s="24" t="str">
        <x:f t="shared" si="1">IF(ISNUMBER(F47),IF(F47&lt;4,"Basso",IF(F47&lt;9,"Medio","Alto")),"")</x:f>
      </x:c>
      <x:c r="H47" s="13"/>
      <x:c r="I47" s="13"/>
      <x:c r="J47" s="13"/>
      <x:c r="K47" s="13"/>
    </x:row>
    <x:row r="48">
      <x:c r="A48" s="13"/>
      <x:c r="B48" s="14"/>
      <x:c r="C48" s="15"/>
      <x:c r="D48" s="15"/>
      <x:c r="E48" s="15"/>
      <x:c r="F48" s="23" t="str">
        <x:f t="shared" si="0">IF(COUNT(D48:E48)=2,D48*E48,"")</x:f>
      </x:c>
      <x:c r="G48" s="24" t="str">
        <x:f t="shared" si="1">IF(ISNUMBER(F48),IF(F48&lt;4,"Basso",IF(F48&lt;9,"Medio","Alto")),"")</x:f>
      </x:c>
      <x:c r="H48" s="13"/>
      <x:c r="I48" s="13"/>
      <x:c r="J48" s="13"/>
      <x:c r="K48" s="13"/>
    </x:row>
    <x:row r="49">
      <x:c r="A49" s="13"/>
      <x:c r="B49" s="14"/>
      <x:c r="C49" s="15"/>
      <x:c r="D49" s="15"/>
      <x:c r="E49" s="15"/>
      <x:c r="F49" s="23" t="str">
        <x:f t="shared" si="0">IF(COUNT(D49:E49)=2,D49*E49,"")</x:f>
      </x:c>
      <x:c r="G49" s="24" t="str">
        <x:f t="shared" si="1">IF(ISNUMBER(F49),IF(F49&lt;4,"Basso",IF(F49&lt;9,"Medio","Alto")),"")</x:f>
      </x:c>
      <x:c r="H49" s="13"/>
      <x:c r="I49" s="13"/>
      <x:c r="J49" s="13"/>
      <x:c r="K49" s="13"/>
    </x:row>
    <x:row r="50">
      <x:c r="A50" s="13"/>
      <x:c r="B50" s="14"/>
      <x:c r="C50" s="15"/>
      <x:c r="D50" s="15"/>
      <x:c r="E50" s="15"/>
      <x:c r="F50" s="23" t="str">
        <x:f t="shared" si="0">IF(COUNT(D50:E50)=2,D50*E50,"")</x:f>
      </x:c>
      <x:c r="G50" s="24" t="str">
        <x:f t="shared" si="1">IF(ISNUMBER(F50),IF(F50&lt;4,"Basso",IF(F50&lt;9,"Medio","Alto")),"")</x:f>
      </x:c>
      <x:c r="H50" s="13"/>
      <x:c r="I50" s="13"/>
      <x:c r="J50" s="13"/>
      <x:c r="K50" s="13"/>
    </x:row>
    <x:row r="51">
      <x:c r="A51" s="13"/>
      <x:c r="B51" s="14"/>
      <x:c r="C51" s="15"/>
      <x:c r="D51" s="15"/>
      <x:c r="E51" s="15"/>
      <x:c r="F51" s="23" t="str">
        <x:f t="shared" si="0">IF(COUNT(D51:E51)=2,D51*E51,"")</x:f>
      </x:c>
      <x:c r="G51" s="24" t="str">
        <x:f t="shared" si="1">IF(ISNUMBER(F51),IF(F51&lt;4,"Basso",IF(F51&lt;9,"Medio","Alto")),"")</x:f>
      </x:c>
      <x:c r="H51" s="13"/>
      <x:c r="I51" s="13"/>
      <x:c r="J51" s="13"/>
      <x:c r="K51" s="13"/>
    </x:row>
    <x:row r="52">
      <x:c r="A52" s="13"/>
      <x:c r="B52" s="14"/>
      <x:c r="C52" s="15"/>
      <x:c r="D52" s="15"/>
      <x:c r="E52" s="15"/>
      <x:c r="F52" s="23" t="str">
        <x:f t="shared" si="0">IF(COUNT(D52:E52)=2,D52*E52,"")</x:f>
      </x:c>
      <x:c r="G52" s="24" t="str">
        <x:f t="shared" si="1">IF(ISNUMBER(F52),IF(F52&lt;4,"Basso",IF(F52&lt;9,"Medio","Alto")),"")</x:f>
      </x:c>
      <x:c r="H52" s="13"/>
      <x:c r="I52" s="13"/>
      <x:c r="J52" s="13"/>
      <x:c r="K52" s="13"/>
    </x:row>
    <x:row r="53">
      <x:c r="A53" s="13"/>
      <x:c r="B53" s="14"/>
      <x:c r="C53" s="15"/>
      <x:c r="D53" s="15"/>
      <x:c r="E53" s="15"/>
      <x:c r="F53" s="23" t="str">
        <x:f t="shared" si="0">IF(COUNT(D53:E53)=2,D53*E53,"")</x:f>
      </x:c>
      <x:c r="G53" s="24" t="str">
        <x:f t="shared" si="1">IF(ISNUMBER(F53),IF(F53&lt;4,"Basso",IF(F53&lt;9,"Medio","Alto")),"")</x:f>
      </x:c>
      <x:c r="H53" s="13"/>
      <x:c r="I53" s="13"/>
      <x:c r="J53" s="13"/>
      <x:c r="K53" s="13"/>
    </x:row>
    <x:row r="54">
      <x:c r="A54" s="29"/>
      <x:c r="B54" s="29"/>
      <x:c r="C54" s="29"/>
      <x:c r="D54" s="29"/>
      <x:c r="E54" s="29"/>
      <x:c r="F54" s="23" t="str">
        <x:f t="shared" si="0">IF(COUNT(D54:E54)=2,D54*E54,"")</x:f>
      </x:c>
      <x:c r="G54" s="24" t="str">
        <x:f t="shared" si="1">IF(ISNUMBER(F54),IF(F54&lt;4,"Basso",IF(F54&lt;9,"Medio","Alto")),"")</x:f>
      </x:c>
      <x:c r="H54" s="29"/>
      <x:c r="I54" s="29"/>
      <x:c r="J54" s="29"/>
      <x:c r="K54" s="13"/>
    </x:row>
    <x:row r="55">
      <x:c r="A55" s="29"/>
      <x:c r="B55" s="29"/>
      <x:c r="C55" s="29"/>
      <x:c r="D55" s="29"/>
      <x:c r="E55" s="29"/>
      <x:c r="F55" s="23" t="str">
        <x:f t="shared" si="0">IF(COUNT(D55:E55)=2,D55*E55,"")</x:f>
      </x:c>
      <x:c r="G55" s="24" t="str">
        <x:f t="shared" si="1">IF(ISNUMBER(F55),IF(F55&lt;4,"Basso",IF(F55&lt;9,"Medio","Alto")),"")</x:f>
      </x:c>
      <x:c r="H55" s="29"/>
      <x:c r="I55" s="29"/>
      <x:c r="J55" s="29"/>
      <x:c r="K55" s="13"/>
    </x:row>
    <x:row r="56">
      <x:c r="A56" s="29"/>
      <x:c r="B56" s="29"/>
      <x:c r="C56" s="29"/>
      <x:c r="D56" s="29"/>
      <x:c r="E56" s="29"/>
      <x:c r="F56" s="23" t="str">
        <x:f t="shared" si="0">IF(COUNT(D56:E56)=2,D56*E56,"")</x:f>
      </x:c>
      <x:c r="G56" s="24" t="str">
        <x:f t="shared" si="1">IF(ISNUMBER(F56),IF(F56&lt;4,"Basso",IF(F56&lt;9,"Medio","Alto")),"")</x:f>
      </x:c>
      <x:c r="H56" s="29"/>
      <x:c r="I56" s="29"/>
      <x:c r="J56" s="29"/>
      <x:c r="K56" s="13"/>
    </x:row>
    <x:row r="57">
      <x:c r="A57" s="29"/>
      <x:c r="B57" s="29"/>
      <x:c r="C57" s="29"/>
      <x:c r="D57" s="29"/>
      <x:c r="E57" s="29"/>
      <x:c r="F57" s="23" t="str">
        <x:f t="shared" si="0">IF(COUNT(D57:E57)=2,D57*E57,"")</x:f>
      </x:c>
      <x:c r="G57" s="24" t="str">
        <x:f t="shared" si="1">IF(ISNUMBER(F57),IF(F57&lt;4,"Basso",IF(F57&lt;9,"Medio","Alto")),"")</x:f>
      </x:c>
      <x:c r="H57" s="29"/>
      <x:c r="I57" s="29"/>
      <x:c r="J57" s="29"/>
      <x:c r="K57" s="13"/>
    </x:row>
    <x:row r="58">
      <x:c r="A58" s="29"/>
      <x:c r="B58" s="29"/>
      <x:c r="C58" s="29"/>
      <x:c r="D58" s="29"/>
      <x:c r="E58" s="29"/>
      <x:c r="F58" s="23" t="str">
        <x:f t="shared" si="0">IF(COUNT(D58:E58)=2,D58*E58,"")</x:f>
      </x:c>
      <x:c r="G58" s="24" t="str">
        <x:f t="shared" si="1">IF(ISNUMBER(F58),IF(F58&lt;4,"Basso",IF(F58&lt;9,"Medio","Alto")),"")</x:f>
      </x:c>
      <x:c r="H58" s="29"/>
      <x:c r="I58" s="29"/>
      <x:c r="J58" s="29"/>
      <x:c r="K58" s="13"/>
    </x:row>
    <x:row r="59">
      <x:c r="A59" s="29"/>
      <x:c r="B59" s="29"/>
      <x:c r="C59" s="29"/>
      <x:c r="D59" s="29"/>
      <x:c r="E59" s="29"/>
      <x:c r="F59" s="23" t="str">
        <x:f t="shared" si="0">IF(COUNT(D59:E59)=2,D59*E59,"")</x:f>
      </x:c>
      <x:c r="G59" s="24" t="str">
        <x:f t="shared" si="1">IF(ISNUMBER(F59),IF(F59&lt;4,"Basso",IF(F59&lt;9,"Medio","Alto")),"")</x:f>
      </x:c>
      <x:c r="H59" s="29"/>
      <x:c r="I59" s="29"/>
      <x:c r="J59" s="29"/>
      <x:c r="K59" s="13"/>
    </x:row>
    <x:row r="60">
      <x:c r="A60" s="29"/>
      <x:c r="B60" s="29"/>
      <x:c r="C60" s="29"/>
      <x:c r="D60" s="29"/>
      <x:c r="E60" s="29"/>
      <x:c r="F60" s="23" t="str">
        <x:f t="shared" si="0">IF(COUNT(D60:E60)=2,D60*E60,"")</x:f>
      </x:c>
      <x:c r="G60" s="24" t="str">
        <x:f t="shared" si="1">IF(ISNUMBER(F60),IF(F60&lt;4,"Basso",IF(F60&lt;9,"Medio","Alto")),"")</x:f>
      </x:c>
      <x:c r="H60" s="29"/>
      <x:c r="I60" s="29"/>
      <x:c r="J60" s="29"/>
      <x:c r="K60" s="13"/>
    </x:row>
    <x:row r="61">
      <x:c r="A61" s="29"/>
      <x:c r="B61" s="29"/>
      <x:c r="C61" s="29"/>
      <x:c r="D61" s="29"/>
      <x:c r="E61" s="29"/>
      <x:c r="F61" s="23" t="str">
        <x:f t="shared" si="0">IF(COUNT(D61:E61)=2,D61*E61,"")</x:f>
      </x:c>
      <x:c r="G61" s="24" t="str">
        <x:f t="shared" si="1">IF(ISNUMBER(F61),IF(F61&lt;4,"Basso",IF(F61&lt;9,"Medio","Alto")),"")</x:f>
      </x:c>
      <x:c r="H61" s="29"/>
      <x:c r="I61" s="29"/>
      <x:c r="J61" s="29"/>
      <x:c r="K61" s="13"/>
    </x:row>
    <x:row r="62">
      <x:c r="A62" s="29"/>
      <x:c r="B62" s="29"/>
      <x:c r="C62" s="29"/>
      <x:c r="D62" s="29"/>
      <x:c r="E62" s="29"/>
      <x:c r="F62" s="23" t="str">
        <x:f t="shared" si="0">IF(COUNT(D62:E62)=2,D62*E62,"")</x:f>
      </x:c>
      <x:c r="G62" s="24" t="str">
        <x:f t="shared" si="1">IF(ISNUMBER(F62),IF(F62&lt;4,"Basso",IF(F62&lt;9,"Medio","Alto")),"")</x:f>
      </x:c>
      <x:c r="H62" s="29"/>
      <x:c r="I62" s="29"/>
      <x:c r="J62" s="29"/>
      <x:c r="K62" s="13"/>
    </x:row>
    <x:row r="63">
      <x:c r="A63" s="29"/>
      <x:c r="B63" s="29"/>
      <x:c r="C63" s="29"/>
      <x:c r="D63" s="29"/>
      <x:c r="E63" s="29"/>
      <x:c r="F63" s="23" t="str">
        <x:f t="shared" si="0">IF(COUNT(D63:E63)=2,D63*E63,"")</x:f>
      </x:c>
      <x:c r="G63" s="24" t="str">
        <x:f t="shared" si="1">IF(ISNUMBER(F63),IF(F63&lt;4,"Basso",IF(F63&lt;9,"Medio","Alto")),"")</x:f>
      </x:c>
      <x:c r="H63" s="29"/>
      <x:c r="I63" s="29"/>
      <x:c r="J63" s="29"/>
      <x:c r="K63" s="13"/>
    </x:row>
    <x:row r="64">
      <x:c r="A64" s="29"/>
      <x:c r="B64" s="29"/>
      <x:c r="C64" s="29"/>
      <x:c r="D64" s="29"/>
      <x:c r="E64" s="29"/>
      <x:c r="F64" s="23" t="str">
        <x:f t="shared" si="0">IF(COUNT(D64:E64)=2,D64*E64,"")</x:f>
      </x:c>
      <x:c r="G64" s="24" t="str">
        <x:f t="shared" si="1">IF(ISNUMBER(F64),IF(F64&lt;4,"Basso",IF(F64&lt;9,"Medio","Alto")),"")</x:f>
      </x:c>
      <x:c r="H64" s="29"/>
      <x:c r="I64" s="29"/>
      <x:c r="J64" s="29"/>
      <x:c r="K64" s="13"/>
    </x:row>
    <x:row r="65">
      <x:c r="A65" s="29"/>
      <x:c r="B65" s="29"/>
      <x:c r="C65" s="29"/>
      <x:c r="D65" s="29"/>
      <x:c r="E65" s="29"/>
      <x:c r="F65" s="23" t="str">
        <x:f t="shared" si="0">IF(COUNT(D65:E65)=2,D65*E65,"")</x:f>
      </x:c>
      <x:c r="G65" s="24" t="str">
        <x:f t="shared" si="1">IF(ISNUMBER(F65),IF(F65&lt;4,"Basso",IF(F65&lt;9,"Medio","Alto")),"")</x:f>
      </x:c>
      <x:c r="H65" s="29"/>
      <x:c r="I65" s="29"/>
      <x:c r="J65" s="29"/>
      <x:c r="K65" s="13"/>
    </x:row>
    <x:row r="66">
      <x:c r="A66" s="29"/>
      <x:c r="B66" s="29"/>
      <x:c r="C66" s="29"/>
      <x:c r="D66" s="29"/>
      <x:c r="E66" s="29"/>
      <x:c r="F66" s="23" t="str">
        <x:f t="shared" si="0">IF(COUNT(D66:E66)=2,D66*E66,"")</x:f>
      </x:c>
      <x:c r="G66" s="24" t="str">
        <x:f t="shared" si="1">IF(ISNUMBER(F66),IF(F66&lt;4,"Basso",IF(F66&lt;9,"Medio","Alto")),"")</x:f>
      </x:c>
      <x:c r="H66" s="29"/>
      <x:c r="I66" s="29"/>
      <x:c r="J66" s="29"/>
      <x:c r="K66" s="13"/>
    </x:row>
    <x:row r="67">
      <x:c r="A67" s="29"/>
      <x:c r="B67" s="29"/>
      <x:c r="C67" s="29"/>
      <x:c r="D67" s="29"/>
      <x:c r="E67" s="29"/>
      <x:c r="F67" s="23" t="str">
        <x:f t="shared" si="0">IF(COUNT(D67:E67)=2,D67*E67,"")</x:f>
      </x:c>
      <x:c r="G67" s="24" t="str">
        <x:f t="shared" si="1">IF(ISNUMBER(F67),IF(F67&lt;4,"Basso",IF(F67&lt;9,"Medio","Alto")),"")</x:f>
      </x:c>
      <x:c r="H67" s="29"/>
      <x:c r="I67" s="29"/>
      <x:c r="J67" s="29"/>
      <x:c r="K67" s="13"/>
    </x:row>
    <x:row r="68">
      <x:c r="A68" s="29"/>
      <x:c r="B68" s="29"/>
      <x:c r="C68" s="29"/>
      <x:c r="D68" s="29"/>
      <x:c r="E68" s="29"/>
      <x:c r="F68" s="23" t="str">
        <x:f t="shared" si="0">IF(COUNT(D68:E68)=2,D68*E68,"")</x:f>
      </x:c>
      <x:c r="G68" s="24" t="str">
        <x:f t="shared" si="1">IF(ISNUMBER(F68),IF(F68&lt;4,"Basso",IF(F68&lt;9,"Medio","Alto")),"")</x:f>
      </x:c>
      <x:c r="H68" s="29"/>
      <x:c r="I68" s="29"/>
      <x:c r="J68" s="29"/>
      <x:c r="K68" s="13"/>
    </x:row>
    <x:row r="69">
      <x:c r="A69" s="29"/>
      <x:c r="B69" s="29"/>
      <x:c r="C69" s="29"/>
      <x:c r="D69" s="29"/>
      <x:c r="E69" s="29"/>
      <x:c r="F69" s="23" t="str">
        <x:f t="shared" si="0">IF(COUNT(D69:E69)=2,D69*E69,"")</x:f>
      </x:c>
      <x:c r="G69" s="24" t="str">
        <x:f t="shared" si="1">IF(ISNUMBER(F69),IF(F69&lt;4,"Basso",IF(F69&lt;9,"Medio","Alto")),"")</x:f>
      </x:c>
      <x:c r="H69" s="29"/>
      <x:c r="I69" s="29"/>
      <x:c r="J69" s="29"/>
      <x:c r="K69" s="13"/>
    </x:row>
    <x:row r="70">
      <x:c r="A70" s="29"/>
      <x:c r="B70" s="29"/>
      <x:c r="C70" s="29"/>
      <x:c r="D70" s="29"/>
      <x:c r="E70" s="29"/>
      <x:c r="F70" s="23" t="str">
        <x:f t="shared" si="0">IF(COUNT(D70:E70)=2,D70*E70,"")</x:f>
      </x:c>
      <x:c r="G70" s="24" t="str">
        <x:f t="shared" si="1">IF(ISNUMBER(F70),IF(F70&lt;4,"Basso",IF(F70&lt;9,"Medio","Alto")),"")</x:f>
      </x:c>
      <x:c r="H70" s="29"/>
      <x:c r="I70" s="29"/>
      <x:c r="J70" s="29"/>
      <x:c r="K70" s="13"/>
    </x:row>
    <x:row r="71">
      <x:c r="A71" s="29"/>
      <x:c r="B71" s="29"/>
      <x:c r="C71" s="29"/>
      <x:c r="D71" s="29"/>
      <x:c r="E71" s="29"/>
      <x:c r="F71" s="23" t="str">
        <x:f t="shared" si="0">IF(COUNT(D71:E71)=2,D71*E71,"")</x:f>
      </x:c>
      <x:c r="G71" s="24" t="str">
        <x:f t="shared" si="1">IF(ISNUMBER(F71),IF(F71&lt;4,"Basso",IF(F71&lt;9,"Medio","Alto")),"")</x:f>
      </x:c>
      <x:c r="H71" s="29"/>
      <x:c r="I71" s="29"/>
      <x:c r="J71" s="29"/>
      <x:c r="K71" s="13"/>
    </x:row>
    <x:row r="72">
      <x:c r="A72" s="29"/>
      <x:c r="B72" s="29"/>
      <x:c r="C72" s="29"/>
      <x:c r="D72" s="29"/>
      <x:c r="E72" s="29"/>
      <x:c r="F72" s="23" t="str">
        <x:f t="shared" si="0">IF(COUNT(D72:E72)=2,D72*E72,"")</x:f>
      </x:c>
      <x:c r="G72" s="24" t="str">
        <x:f t="shared" si="1">IF(ISNUMBER(F72),IF(F72&lt;4,"Basso",IF(F72&lt;9,"Medio","Alto")),"")</x:f>
      </x:c>
      <x:c r="H72" s="29"/>
      <x:c r="I72" s="29"/>
      <x:c r="J72" s="29"/>
      <x:c r="K72" s="13"/>
    </x:row>
    <x:row r="73">
      <x:c r="A73" s="29"/>
      <x:c r="B73" s="29"/>
      <x:c r="C73" s="29"/>
      <x:c r="D73" s="29"/>
      <x:c r="E73" s="29"/>
      <x:c r="F73" s="23" t="str">
        <x:f t="shared" si="0">IF(COUNT(D73:E73)=2,D73*E73,"")</x:f>
      </x:c>
      <x:c r="G73" s="24" t="str">
        <x:f t="shared" si="1">IF(ISNUMBER(F73),IF(F73&lt;4,"Basso",IF(F73&lt;9,"Medio","Alto")),"")</x:f>
      </x:c>
      <x:c r="H73" s="29"/>
      <x:c r="I73" s="29"/>
      <x:c r="J73" s="29"/>
      <x:c r="K73" s="13"/>
    </x:row>
    <x:row r="74">
      <x:c r="A74" s="29"/>
      <x:c r="B74" s="29"/>
      <x:c r="C74" s="29"/>
      <x:c r="D74" s="29"/>
      <x:c r="E74" s="29"/>
      <x:c r="F74" s="23" t="str">
        <x:f t="shared" si="0">IF(COUNT(D74:E74)=2,D74*E74,"")</x:f>
      </x:c>
      <x:c r="G74" s="24" t="str">
        <x:f t="shared" si="1">IF(ISNUMBER(F74),IF(F74&lt;4,"Basso",IF(F74&lt;9,"Medio","Alto")),"")</x:f>
      </x:c>
      <x:c r="H74" s="29"/>
      <x:c r="I74" s="29"/>
      <x:c r="J74" s="29"/>
      <x:c r="K74" s="13"/>
    </x:row>
    <x:row r="75">
      <x:c r="A75" s="29"/>
      <x:c r="B75" s="29"/>
      <x:c r="C75" s="29"/>
      <x:c r="D75" s="29"/>
      <x:c r="E75" s="29"/>
      <x:c r="F75" s="23" t="str">
        <x:f t="shared" si="0">IF(COUNT(D75:E75)=2,D75*E75,"")</x:f>
      </x:c>
      <x:c r="G75" s="24" t="str">
        <x:f t="shared" si="1">IF(ISNUMBER(F75),IF(F75&lt;4,"Basso",IF(F75&lt;9,"Medio","Alto")),"")</x:f>
      </x:c>
      <x:c r="H75" s="29"/>
      <x:c r="I75" s="29"/>
      <x:c r="J75" s="29"/>
      <x:c r="K75" s="13"/>
    </x:row>
    <x:row r="76">
      <x:c r="A76" s="29"/>
      <x:c r="B76" s="29"/>
      <x:c r="C76" s="29"/>
      <x:c r="D76" s="29"/>
      <x:c r="E76" s="29"/>
      <x:c r="F76" s="23" t="str">
        <x:f t="shared" si="0">IF(COUNT(D76:E76)=2,D76*E76,"")</x:f>
      </x:c>
      <x:c r="G76" s="24" t="str">
        <x:f t="shared" si="1">IF(ISNUMBER(F76),IF(F76&lt;4,"Basso",IF(F76&lt;9,"Medio","Alto")),"")</x:f>
      </x:c>
      <x:c r="H76" s="29"/>
      <x:c r="I76" s="29"/>
      <x:c r="J76" s="29"/>
      <x:c r="K76" s="13"/>
    </x:row>
    <x:row r="77">
      <x:c r="A77" s="29"/>
      <x:c r="B77" s="29"/>
      <x:c r="C77" s="29"/>
      <x:c r="D77" s="29"/>
      <x:c r="E77" s="29"/>
      <x:c r="F77" s="23" t="str">
        <x:f t="shared" si="0">IF(COUNT(D77:E77)=2,D77*E77,"")</x:f>
      </x:c>
      <x:c r="G77" s="24" t="str">
        <x:f t="shared" si="1">IF(ISNUMBER(F77),IF(F77&lt;4,"Basso",IF(F77&lt;9,"Medio","Alto")),"")</x:f>
      </x:c>
      <x:c r="H77" s="29"/>
      <x:c r="I77" s="29"/>
      <x:c r="J77" s="29"/>
      <x:c r="K77" s="13"/>
    </x:row>
    <x:row r="78">
      <x:c r="A78" s="29"/>
      <x:c r="B78" s="29"/>
      <x:c r="C78" s="29"/>
      <x:c r="D78" s="29"/>
      <x:c r="E78" s="29"/>
      <x:c r="F78" s="23" t="str">
        <x:f t="shared" si="0">IF(COUNT(D78:E78)=2,D78*E78,"")</x:f>
      </x:c>
      <x:c r="G78" s="24" t="str">
        <x:f t="shared" si="1">IF(ISNUMBER(F78),IF(F78&lt;4,"Basso",IF(F78&lt;9,"Medio","Alto")),"")</x:f>
      </x:c>
      <x:c r="H78" s="29"/>
      <x:c r="I78" s="29"/>
      <x:c r="J78" s="29"/>
      <x:c r="K78" s="13"/>
    </x:row>
    <x:row r="79">
      <x:c r="A79" s="29"/>
      <x:c r="B79" s="29"/>
      <x:c r="C79" s="29"/>
      <x:c r="D79" s="29"/>
      <x:c r="E79" s="29"/>
      <x:c r="F79" s="23" t="str">
        <x:f t="shared" si="0">IF(COUNT(D79:E79)=2,D79*E79,"")</x:f>
      </x:c>
      <x:c r="G79" s="24" t="str">
        <x:f t="shared" si="1">IF(ISNUMBER(F79),IF(F79&lt;4,"Basso",IF(F79&lt;9,"Medio","Alto")),"")</x:f>
      </x:c>
      <x:c r="H79" s="29"/>
      <x:c r="I79" s="29"/>
      <x:c r="J79" s="29"/>
      <x:c r="K79" s="13"/>
    </x:row>
    <x:row r="80">
      <x:c r="A80" s="29"/>
      <x:c r="B80" s="29"/>
      <x:c r="C80" s="29"/>
      <x:c r="D80" s="29"/>
      <x:c r="E80" s="29"/>
      <x:c r="F80" s="23" t="str">
        <x:f t="shared" si="0">IF(COUNT(D80:E80)=2,D80*E80,"")</x:f>
      </x:c>
      <x:c r="G80" s="24" t="str">
        <x:f t="shared" si="1">IF(ISNUMBER(F80),IF(F80&lt;4,"Basso",IF(F80&lt;9,"Medio","Alto")),"")</x:f>
      </x:c>
      <x:c r="H80" s="29"/>
      <x:c r="I80" s="29"/>
      <x:c r="J80" s="29"/>
      <x:c r="K80" s="13"/>
    </x:row>
    <x:row r="81">
      <x:c r="A81" s="29"/>
      <x:c r="B81" s="29"/>
      <x:c r="C81" s="29"/>
      <x:c r="D81" s="29"/>
      <x:c r="E81" s="29"/>
      <x:c r="F81" s="23" t="str">
        <x:f t="shared" si="0">IF(COUNT(D81:E81)=2,D81*E81,"")</x:f>
      </x:c>
      <x:c r="G81" s="24" t="str">
        <x:f t="shared" si="1">IF(ISNUMBER(F81),IF(F81&lt;4,"Basso",IF(F81&lt;9,"Medio","Alto")),"")</x:f>
      </x:c>
      <x:c r="H81" s="29"/>
      <x:c r="I81" s="29"/>
      <x:c r="J81" s="29"/>
      <x:c r="K81" s="13"/>
    </x:row>
  </x:sheetData>
  <x:mergeCells>
    <x:mergeCell ref="I40:J43"/>
    <x:mergeCell ref="D14:G15"/>
    <x:mergeCell ref="I15:J15"/>
    <x:mergeCell ref="D9:G9"/>
    <x:mergeCell ref="I9:J10"/>
    <x:mergeCell ref="K9:K10"/>
    <x:mergeCell ref="D10:G11"/>
    <x:mergeCell ref="I12:J13"/>
    <x:mergeCell ref="K12:K13"/>
    <x:mergeCell ref="D13:G13"/>
    <x:mergeCell ref="A2:H2"/>
    <x:mergeCell ref="I2:K2"/>
    <x:mergeCell ref="D4:F6"/>
    <x:mergeCell ref="G4:G6"/>
    <x:mergeCell ref="I4:K5"/>
    <x:mergeCell ref="I6:J7"/>
    <x:mergeCell ref="K6:K7"/>
  </x:mergeCells>
  <x:conditionalFormatting sqref="D10:G11">
    <x:cfRule type="containsText" dxfId="2" priority="2" operator="containsText" text="RISCHIO">
      <x:formula>NOT(ISERROR(SEARCH("RISCHIO",D10)))</x:formula>
    </x:cfRule>
  </x:conditionalFormatting>
  <x:conditionalFormatting sqref="D14:G15">
    <x:cfRule type="containsText" dxfId="1" priority="1" operator="containsText" text="OPPORTUNITA'">
      <x:formula>NOT(ISERROR(SEARCH("OPPORTUNITA'",D14)))</x:formula>
    </x:cfRule>
    <x:cfRule type="containsText" dxfId="0" priority="3" operator="containsText" text="RISCHIO">
      <x:formula>NOT(ISERROR(SEARCH("RISCHIO",D14)))</x:formula>
    </x:cfRule>
  </x:conditionalFormatting>
  <x:dataValidations count="6">
    <x:dataValidation type="list" allowBlank="1" showInputMessage="1" showErrorMessage="1" sqref="C18:C53">
      <x:formula1>"R,O,#"</x:formula1>
    </x:dataValidation>
    <x:dataValidation type="list" allowBlank="1" showInputMessage="1" showErrorMessage="1" sqref="H18:H53">
      <x:formula1>"Trasferire il rischio, Evitare il rischio, Mitigare il rischio, Accettare il rischio, Gestire l'opportunità, #"</x:formula1>
    </x:dataValidation>
    <x:dataValidation type="list" allowBlank="1" showInputMessage="1" showErrorMessage="1" sqref="K18:K81">
      <x:formula1>"OK, Attesa"</x:formula1>
    </x:dataValidation>
    <x:dataValidation type="list" allowBlank="1" showInputMessage="1" showErrorMessage="1" sqref="G4:G6">
      <x:formula1>"1,2,3,4,5"</x:formula1>
    </x:dataValidation>
    <x:dataValidation type="list" allowBlank="1" showInputMessage="1" showErrorMessage="1" sqref="D18:D53">
      <x:formula1>"1,2,3,4,"</x:formula1>
    </x:dataValidation>
    <x:dataValidation type="list" allowBlank="1" showInputMessage="1" showErrorMessage="1" sqref="E18:E53">
      <x:formula1>"1,2,3,4"</x:formula1>
    </x:dataValidation>
  </x:dataValidations>
  <x:pageMargins left="0.7" right="0.7" top="0.75" bottom="0.75" header="0.3" footer="0.3"/>
  <x:drawing xmlns:r="http://schemas.openxmlformats.org/officeDocument/2006/relationships" r:id="R557186785b194e6e"/>
</x:worksheet>
</file>